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tch" sheetId="1" state="visible" r:id="rId1"/>
    <sheet name="Liste" sheetId="2" state="hidden" r:id="rId2"/>
    <sheet name="D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yyyy-mm-dd h:mm:ss"/>
  </numFmts>
  <fonts count="18">
    <font>
      <name val="Arial"/>
      <color rgb="FF000000"/>
      <sz val="10"/>
      <scheme val="minor"/>
    </font>
    <font>
      <name val="Arial"/>
      <b val="1"/>
      <color rgb="FFFFFFFF"/>
      <sz val="20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FFFFFFFF"/>
      <sz val="16"/>
    </font>
    <font/>
    <font>
      <name val="Arial"/>
      <i val="1"/>
      <color rgb="FF808080"/>
      <sz val="9"/>
    </font>
    <font>
      <name val="Arial"/>
      <b val="1"/>
      <color rgb="FFFFFFFF"/>
      <sz val="10"/>
    </font>
    <font>
      <name val="Arial"/>
      <color theme="1"/>
      <sz val="11"/>
    </font>
    <font>
      <name val="Arial"/>
      <color rgb="FF000000"/>
      <sz val="10"/>
    </font>
    <font>
      <name val="Arial"/>
      <b val="1"/>
      <color rgb="FF000000"/>
      <sz val="11"/>
    </font>
    <font>
      <name val="Arial"/>
      <b val="1"/>
      <color rgb="FFFFFFFF"/>
      <sz val="18"/>
    </font>
    <font>
      <name val="Arial"/>
      <i val="1"/>
      <color rgb="FF000000"/>
      <sz val="8"/>
    </font>
    <font>
      <name val="Arial"/>
      <b val="1"/>
      <color rgb="FF1F3864"/>
      <sz val="13"/>
    </font>
    <font>
      <name val="Arial"/>
      <b val="1"/>
      <color rgb="FF1F3864"/>
      <sz val="12"/>
    </font>
    <font>
      <name val="Arial"/>
      <color theme="1"/>
      <scheme val="minor"/>
    </font>
    <font>
      <b val="1"/>
    </font>
  </fonts>
  <fills count="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395"/>
        <bgColor rgb="FF2E5395"/>
      </patternFill>
    </fill>
    <fill>
      <patternFill patternType="solid">
        <fgColor rgb="FFBF8F00"/>
        <bgColor rgb="FFBF8F00"/>
      </patternFill>
    </fill>
    <fill>
      <patternFill patternType="solid">
        <fgColor rgb="FFF2F2F2"/>
        <bgColor rgb="FFF2F2F2"/>
      </patternFill>
    </fill>
    <fill>
      <patternFill patternType="solid">
        <fgColor rgb="00F2F2F2"/>
      </patternFill>
    </fill>
  </fills>
  <borders count="6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5" fillId="2" borderId="3" applyAlignment="1" pivotButton="0" quotePrefix="0" xfId="0">
      <alignment horizontal="left" vertical="center" wrapText="1"/>
    </xf>
    <xf numFmtId="0" fontId="6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6" fillId="0" borderId="5" pivotButton="0" quotePrefix="0" xfId="0"/>
    <xf numFmtId="0" fontId="2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bottom"/>
    </xf>
    <xf numFmtId="164" fontId="9" fillId="5" borderId="1" applyAlignment="1" pivotButton="0" quotePrefix="0" xfId="0">
      <alignment vertical="bottom"/>
    </xf>
    <xf numFmtId="0" fontId="8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bottom"/>
    </xf>
    <xf numFmtId="9" fontId="10" fillId="0" borderId="2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4" fontId="9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5" fontId="10" fillId="0" borderId="0" applyAlignment="1" pivotButton="0" quotePrefix="0" xfId="0">
      <alignment vertical="bottom"/>
    </xf>
    <xf numFmtId="0" fontId="10" fillId="5" borderId="1" applyAlignment="1" pivotButton="0" quotePrefix="0" xfId="0">
      <alignment vertical="bottom"/>
    </xf>
    <xf numFmtId="9" fontId="11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165" fontId="7" fillId="0" borderId="0" applyAlignment="1" pivotButton="0" quotePrefix="0" xfId="0">
      <alignment vertical="bottom"/>
    </xf>
    <xf numFmtId="0" fontId="2" fillId="3" borderId="3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bottom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center" wrapText="1"/>
    </xf>
    <xf numFmtId="165" fontId="14" fillId="0" borderId="0" applyAlignment="1" pivotButton="0" quotePrefix="0" xfId="0">
      <alignment vertical="bottom"/>
    </xf>
    <xf numFmtId="0" fontId="15" fillId="0" borderId="2" applyAlignment="1" pivotButton="0" quotePrefix="0" xfId="0">
      <alignment horizontal="center" vertical="center" wrapText="1"/>
    </xf>
    <xf numFmtId="165" fontId="10" fillId="0" borderId="2" applyAlignment="1" pivotButton="0" quotePrefix="0" xfId="0">
      <alignment horizontal="center" vertical="center" wrapText="1"/>
    </xf>
    <xf numFmtId="165" fontId="15" fillId="0" borderId="2" applyAlignment="1" pivotButton="0" quotePrefix="0" xfId="0">
      <alignment horizontal="center" vertical="center" wrapText="1"/>
    </xf>
    <xf numFmtId="164" fontId="9" fillId="5" borderId="1" applyAlignment="1" pivotButton="0" quotePrefix="0" xfId="0">
      <alignment vertical="bottom"/>
    </xf>
    <xf numFmtId="164" fontId="9" fillId="5" borderId="1" applyAlignment="1" pivotButton="0" quotePrefix="0" xfId="0">
      <alignment horizontal="right" vertical="bottom"/>
    </xf>
    <xf numFmtId="0" fontId="9" fillId="5" borderId="1" applyAlignment="1" pivotButton="0" quotePrefix="0" xfId="0">
      <alignment vertical="bottom"/>
    </xf>
    <xf numFmtId="0" fontId="9" fillId="5" borderId="1" applyAlignment="1" pivotButton="0" quotePrefix="0" xfId="0">
      <alignment horizontal="right" vertical="bottom"/>
    </xf>
    <xf numFmtId="165" fontId="9" fillId="5" borderId="1" applyAlignment="1" pivotButton="0" quotePrefix="0" xfId="0">
      <alignment vertical="bottom"/>
    </xf>
    <xf numFmtId="0" fontId="16" fillId="0" borderId="0" pivotButton="0" quotePrefix="0" xfId="0"/>
    <xf numFmtId="0" fontId="9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16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/>
    </xf>
    <xf numFmtId="0" fontId="10" fillId="0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17" fillId="6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2">
    <dxf>
      <font>
        <name val="Arial"/>
        <b val="1"/>
        <color rgb="FF2E7D32"/>
      </font>
      <fill>
        <patternFill patternType="solid">
          <fgColor rgb="FFE2F0D9"/>
          <bgColor rgb="FFE2F0D9"/>
        </patternFill>
      </fill>
      <border/>
    </dxf>
    <dxf>
      <font>
        <name val="Arial"/>
        <b val="1"/>
        <color rgb="FFC00000"/>
      </font>
      <fill>
        <patternFill patternType="solid">
          <fgColor rgb="FFFBE2E2"/>
          <bgColor rgb="FFFBE2E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" customWidth="1" style="54" min="1" max="1"/>
    <col width="12" customWidth="1" style="54" min="2" max="3"/>
    <col width="24" customWidth="1" style="54" min="4" max="4"/>
    <col width="16" customWidth="1" style="54" min="5" max="5"/>
    <col width="24" customWidth="1" style="54" min="6" max="6"/>
    <col width="9" customWidth="1" style="54" min="7" max="7"/>
    <col width="11" customWidth="1" style="54" min="8" max="8"/>
    <col width="22" customWidth="1" style="54" min="9" max="9"/>
    <col width="11" customWidth="1" style="54" min="10" max="10"/>
    <col width="32" customWidth="1" style="54" min="11" max="11"/>
    <col width="10" customWidth="1" style="54" min="12" max="12"/>
    <col width="12" customWidth="1" style="54" min="13" max="13"/>
    <col width="22" customWidth="1" style="54" min="14" max="14"/>
    <col width="14" customWidth="1" style="54" min="15" max="15"/>
    <col width="13" customWidth="1" style="54" min="16" max="16"/>
    <col width="8" customWidth="1" style="54" min="17" max="17"/>
    <col width="12" customWidth="1" style="54" min="18" max="18"/>
  </cols>
  <sheetData>
    <row r="1" ht="15.75" customHeight="1" s="54">
      <c r="A1" s="3" t="inlineStr">
        <is>
          <t>#</t>
        </is>
      </c>
      <c r="B1" s="3" t="inlineStr">
        <is>
          <t>Data</t>
        </is>
      </c>
      <c r="C1" s="3" t="inlineStr">
        <is>
          <t>Formato</t>
        </is>
      </c>
      <c r="D1" s="3" t="inlineStr">
        <is>
          <t>Deck</t>
        </is>
      </c>
      <c r="E1" s="3" t="inlineStr">
        <is>
          <t>DeckList</t>
        </is>
      </c>
      <c r="F1" s="3" t="inlineStr">
        <is>
          <t>Deck Avversario</t>
        </is>
      </c>
      <c r="G1" s="3" t="inlineStr">
        <is>
          <t>1°/2°</t>
        </is>
      </c>
      <c r="H1" s="3" t="inlineStr">
        <is>
          <t>Risultato</t>
        </is>
      </c>
      <c r="I1" s="3" t="inlineStr">
        <is>
          <t>TAG</t>
        </is>
      </c>
      <c r="J1" s="3" t="inlineStr">
        <is>
          <t>Torneo</t>
        </is>
      </c>
      <c r="K1" s="3" t="inlineStr">
        <is>
          <t>Note</t>
        </is>
      </c>
      <c r="L1" s="13" t="inlineStr">
        <is>
          <t>Esito (1=W / 0=L)</t>
        </is>
      </c>
      <c r="M1" s="13" t="inlineStr">
        <is>
          <t>Partita # Deck</t>
        </is>
      </c>
      <c r="N1" s="13" t="inlineStr">
        <is>
          <t>Chiave Deck</t>
        </is>
      </c>
      <c r="O1" s="13" t="inlineStr">
        <is>
          <t>Vittorie cumulate Deck</t>
        </is>
      </c>
      <c r="P1" s="13" t="inlineStr">
        <is>
          <t>Winrate cumulato Deck</t>
        </is>
      </c>
      <c r="Q1" s="13" t="inlineStr">
        <is>
          <t>Turno</t>
        </is>
      </c>
      <c r="R1" s="13" t="inlineStr">
        <is>
          <t>Mese</t>
        </is>
      </c>
    </row>
    <row r="2" ht="15.75" customHeight="1" s="54">
      <c r="A2" s="44" t="n">
        <v>1</v>
      </c>
      <c r="B2" s="42" t="n">
        <v>46235</v>
      </c>
      <c r="C2" s="44" t="inlineStr">
        <is>
          <t>TEF-PBL</t>
        </is>
      </c>
      <c r="D2" s="44" t="inlineStr">
        <is>
          <t>Grimmsnarl ex Froslass</t>
        </is>
      </c>
      <c r="E2" s="44" t="inlineStr">
        <is>
          <t>Grimmsnarl v1</t>
        </is>
      </c>
      <c r="F2" s="44" t="inlineStr">
        <is>
          <t>Vileplume ex Ogerpon</t>
        </is>
      </c>
      <c r="G2" s="44" t="n">
        <v>1</v>
      </c>
      <c r="H2" s="44" t="inlineStr">
        <is>
          <t>W</t>
        </is>
      </c>
      <c r="I2" s="44" t="inlineStr">
        <is>
          <t>Good Opening, Lucky Win</t>
        </is>
      </c>
      <c r="J2" s="44" t="inlineStr">
        <is>
          <t>TCGLive</t>
        </is>
      </c>
      <c r="K2" s="44" t="inlineStr">
        <is>
          <t>Doppio Frosslass, può essere molto fastidioso se fa doppio Vileplume che cura 60 da tutti</t>
        </is>
      </c>
      <c r="L2" s="20">
        <f>IF(D2="","",IF(H2="W",1,IF(H2="L",0,"")))</f>
        <v/>
      </c>
      <c r="M2" s="20">
        <f>IF(D2="","",COUNTIFS($D$2:D2,D2))</f>
        <v/>
      </c>
      <c r="N2" s="20">
        <f>IF(D2="","",D2&amp;"|"&amp;M2)</f>
        <v/>
      </c>
      <c r="O2" s="20">
        <f>IF(D2="","",COUNTIFS($D$2:D2,D2,$H$2:H2,"W"))</f>
        <v/>
      </c>
      <c r="P2" s="22">
        <f>IF(D2="","",IFERROR(O2/M2,""))</f>
        <v/>
      </c>
      <c r="Q2" s="20">
        <f>IF(G2="","",IF(G2=1,"1°","2°"))</f>
        <v/>
      </c>
      <c r="R2" s="20">
        <f>IF(B2="","",TEXT(B2,"mmm-yyyy"))</f>
        <v/>
      </c>
    </row>
    <row r="3" ht="15.75" customHeight="1" s="54">
      <c r="A3" s="48" t="n">
        <v>2</v>
      </c>
      <c r="B3" s="24" t="n">
        <v>46235</v>
      </c>
      <c r="C3" s="48" t="inlineStr">
        <is>
          <t>TEF-PBL</t>
        </is>
      </c>
      <c r="D3" s="48" t="inlineStr">
        <is>
          <t>Grimmsnarl ex Froslass</t>
        </is>
      </c>
      <c r="E3" s="48" t="inlineStr">
        <is>
          <t>Grimmsnarl v1</t>
        </is>
      </c>
      <c r="F3" s="48" t="inlineStr">
        <is>
          <t>Grimmsnarl ex Froslass</t>
        </is>
      </c>
      <c r="G3" s="48" t="n">
        <v>1</v>
      </c>
      <c r="H3" s="48" t="inlineStr">
        <is>
          <t>W</t>
        </is>
      </c>
      <c r="I3" s="48" t="inlineStr">
        <is>
          <t>Good Opening</t>
        </is>
      </c>
      <c r="J3" s="48" t="inlineStr">
        <is>
          <t>TCGLive</t>
        </is>
      </c>
      <c r="K3" s="48" t="n"/>
      <c r="L3" s="25">
        <f>IF(D3="","",IF(H3="W",1,IF(H3="L",0,"")))</f>
        <v/>
      </c>
      <c r="M3" s="25">
        <f>IF(D3="","",COUNTIFS($D$2:D3,D3))</f>
        <v/>
      </c>
      <c r="N3" s="25">
        <f>IF(D3="","",D3&amp;"|"&amp;M3)</f>
        <v/>
      </c>
      <c r="O3" s="25">
        <f>IF(D3="","",COUNTIFS($D$2:D3,D3,$H$2:H3,"W"))</f>
        <v/>
      </c>
      <c r="P3" s="26">
        <f>IF(D3="","",IFERROR(O3/M3,""))</f>
        <v/>
      </c>
      <c r="Q3" s="25">
        <f>IF(G3="","",IF(G3=1,"1°","2°"))</f>
        <v/>
      </c>
      <c r="R3" s="25">
        <f>IF(B3="","",TEXT(B3,"mmm-yyyy"))</f>
        <v/>
      </c>
    </row>
    <row r="4" ht="15.75" customHeight="1" s="54">
      <c r="A4" s="44" t="n">
        <v>3</v>
      </c>
      <c r="B4" s="42" t="n">
        <v>46235</v>
      </c>
      <c r="C4" s="44" t="inlineStr">
        <is>
          <t>TEF-PBL</t>
        </is>
      </c>
      <c r="D4" s="44" t="inlineStr">
        <is>
          <t>Grimmsnarl ex Froslass</t>
        </is>
      </c>
      <c r="E4" s="44" t="inlineStr">
        <is>
          <t>Grimmsnarl v1</t>
        </is>
      </c>
      <c r="F4" s="44" t="inlineStr">
        <is>
          <t>MegaStarmie ex Dusknoir</t>
        </is>
      </c>
      <c r="G4" s="44" t="n">
        <v>2</v>
      </c>
      <c r="H4" s="44" t="inlineStr">
        <is>
          <t>W</t>
        </is>
      </c>
      <c r="I4" s="44" t="inlineStr">
        <is>
          <t>Bad Opening</t>
        </is>
      </c>
      <c r="J4" s="44" t="inlineStr">
        <is>
          <t>TCGLive</t>
        </is>
      </c>
      <c r="K4" s="44" t="n"/>
      <c r="L4" s="20">
        <f>IF(D4="","",IF(H4="W",1,IF(H4="L",0,"")))</f>
        <v/>
      </c>
      <c r="M4" s="20">
        <f>IF(D4="","",COUNTIFS($D$2:D4,D4))</f>
        <v/>
      </c>
      <c r="N4" s="20">
        <f>IF(D4="","",D4&amp;"|"&amp;M4)</f>
        <v/>
      </c>
      <c r="O4" s="20">
        <f>IF(D4="","",COUNTIFS($D$2:D4,D4,$H$2:H4,"W"))</f>
        <v/>
      </c>
      <c r="P4" s="22">
        <f>IF(D4="","",IFERROR(O4/M4,""))</f>
        <v/>
      </c>
      <c r="Q4" s="20">
        <f>IF(G4="","",IF(G4=1,"1°","2°"))</f>
        <v/>
      </c>
      <c r="R4" s="20">
        <f>IF(B4="","",TEXT(B4,"mmm-yyyy"))</f>
        <v/>
      </c>
    </row>
    <row r="5" ht="15.75" customHeight="1" s="54">
      <c r="A5" s="48" t="n">
        <v>4</v>
      </c>
      <c r="B5" s="24" t="n">
        <v>46235</v>
      </c>
      <c r="C5" s="48" t="inlineStr">
        <is>
          <t>TEF-PBL</t>
        </is>
      </c>
      <c r="D5" s="48" t="inlineStr">
        <is>
          <t>Grimmsnarl ex Froslass</t>
        </is>
      </c>
      <c r="E5" s="48" t="inlineStr">
        <is>
          <t>Grimmsnarl v1</t>
        </is>
      </c>
      <c r="F5" s="48" t="inlineStr">
        <is>
          <t>MegaCharizard ex Oricorio</t>
        </is>
      </c>
      <c r="G5" s="48" t="n">
        <v>1</v>
      </c>
      <c r="H5" s="48" t="inlineStr">
        <is>
          <t>W</t>
        </is>
      </c>
      <c r="I5" s="48" t="inlineStr">
        <is>
          <t>Easy Matchup</t>
        </is>
      </c>
      <c r="J5" s="48" t="inlineStr">
        <is>
          <t>TCGLive</t>
        </is>
      </c>
      <c r="K5" s="48" t="n"/>
      <c r="L5" s="25">
        <f>IF(D5="","",IF(H5="W",1,IF(H5="L",0,"")))</f>
        <v/>
      </c>
      <c r="M5" s="25">
        <f>IF(D5="","",COUNTIFS($D$2:D5,D5))</f>
        <v/>
      </c>
      <c r="N5" s="25">
        <f>IF(D5="","",D5&amp;"|"&amp;M5)</f>
        <v/>
      </c>
      <c r="O5" s="25">
        <f>IF(D5="","",COUNTIFS($D$2:D5,D5,$H$2:H5,"W"))</f>
        <v/>
      </c>
      <c r="P5" s="26">
        <f>IF(D5="","",IFERROR(O5/M5,""))</f>
        <v/>
      </c>
      <c r="Q5" s="25">
        <f>IF(G5="","",IF(G5=1,"1°","2°"))</f>
        <v/>
      </c>
      <c r="R5" s="25">
        <f>IF(B5="","",TEXT(B5,"mmm-yyyy"))</f>
        <v/>
      </c>
    </row>
    <row r="6" ht="15.75" customHeight="1" s="54">
      <c r="A6" s="44" t="n">
        <v>5</v>
      </c>
      <c r="B6" s="42" t="n">
        <v>46235</v>
      </c>
      <c r="C6" s="44" t="inlineStr">
        <is>
          <t>TEF-PBL</t>
        </is>
      </c>
      <c r="D6" s="44" t="inlineStr">
        <is>
          <t>Grimmsnarl ex Froslass</t>
        </is>
      </c>
      <c r="E6" s="44" t="inlineStr">
        <is>
          <t>Grimmsnarl v1</t>
        </is>
      </c>
      <c r="F6" s="44" t="inlineStr">
        <is>
          <t>MegaLucario ex</t>
        </is>
      </c>
      <c r="G6" s="44" t="n">
        <v>2</v>
      </c>
      <c r="H6" s="44" t="inlineStr">
        <is>
          <t>L</t>
        </is>
      </c>
      <c r="I6" s="44" t="inlineStr">
        <is>
          <t>Bad Opening, Bad Draw</t>
        </is>
      </c>
      <c r="J6" s="44" t="inlineStr">
        <is>
          <t>TCGLive</t>
        </is>
      </c>
      <c r="K6" s="44" t="n"/>
      <c r="L6" s="20">
        <f>IF(D6="","",IF(H6="W",1,IF(H6="L",0,"")))</f>
        <v/>
      </c>
      <c r="M6" s="20">
        <f>IF(D6="","",COUNTIFS($D$2:D6,D6))</f>
        <v/>
      </c>
      <c r="N6" s="20">
        <f>IF(D6="","",D6&amp;"|"&amp;M6)</f>
        <v/>
      </c>
      <c r="O6" s="20">
        <f>IF(D6="","",COUNTIFS($D$2:D6,D6,$H$2:H6,"W"))</f>
        <v/>
      </c>
      <c r="P6" s="22">
        <f>IF(D6="","",IFERROR(O6/M6,""))</f>
        <v/>
      </c>
      <c r="Q6" s="20">
        <f>IF(G6="","",IF(G6=1,"1°","2°"))</f>
        <v/>
      </c>
      <c r="R6" s="20">
        <f>IF(B6="","",TEXT(B6,"mmm-yyyy"))</f>
        <v/>
      </c>
    </row>
    <row r="7" ht="15.75" customHeight="1" s="54">
      <c r="A7" s="48" t="n">
        <v>6</v>
      </c>
      <c r="B7" s="24" t="n">
        <v>46236</v>
      </c>
      <c r="C7" s="48" t="inlineStr">
        <is>
          <t>TEF-PBL</t>
        </is>
      </c>
      <c r="D7" s="48" t="inlineStr">
        <is>
          <t>Grimmsnarl ex Froslass</t>
        </is>
      </c>
      <c r="E7" s="48" t="inlineStr">
        <is>
          <t>Grimmsnarl v1</t>
        </is>
      </c>
      <c r="F7" s="48" t="inlineStr">
        <is>
          <t>Zoroark ex</t>
        </is>
      </c>
      <c r="G7" s="48" t="n">
        <v>1</v>
      </c>
      <c r="H7" s="48" t="inlineStr">
        <is>
          <t>W</t>
        </is>
      </c>
      <c r="I7" s="48" t="n"/>
      <c r="J7" s="48" t="inlineStr">
        <is>
          <t>TCGLive</t>
        </is>
      </c>
      <c r="K7" s="48" t="inlineStr">
        <is>
          <t>Doppio Froslass, devi sperare non faccia darmanitan e vinci</t>
        </is>
      </c>
      <c r="L7" s="25">
        <f>IF(D7="","",IF(H7="W",1,IF(H7="L",0,"")))</f>
        <v/>
      </c>
      <c r="M7" s="25">
        <f>IF(D7="","",COUNTIFS($D$2:D7,D7))</f>
        <v/>
      </c>
      <c r="N7" s="25">
        <f>IF(D7="","",D7&amp;"|"&amp;M7)</f>
        <v/>
      </c>
      <c r="O7" s="25">
        <f>IF(D7="","",COUNTIFS($D$2:D7,D7,$H$2:H7,"W"))</f>
        <v/>
      </c>
      <c r="P7" s="26">
        <f>IF(D7="","",IFERROR(O7/M7,""))</f>
        <v/>
      </c>
      <c r="Q7" s="25">
        <f>IF(G7="","",IF(G7=1,"1°","2°"))</f>
        <v/>
      </c>
      <c r="R7" s="25">
        <f>IF(B7="","",TEXT(B7,"mmm-yyyy"))</f>
        <v/>
      </c>
    </row>
    <row r="8" ht="15.75" customHeight="1" s="54">
      <c r="A8" s="44" t="n">
        <v>7</v>
      </c>
      <c r="B8" s="42" t="n">
        <v>46236</v>
      </c>
      <c r="C8" s="44" t="inlineStr">
        <is>
          <t>TEF-PBL</t>
        </is>
      </c>
      <c r="D8" s="44" t="inlineStr">
        <is>
          <t>Grimmsnarl ex Froslass</t>
        </is>
      </c>
      <c r="E8" s="44" t="inlineStr">
        <is>
          <t>Grimmsnarl v1</t>
        </is>
      </c>
      <c r="F8" s="44" t="inlineStr">
        <is>
          <t>Alakazam Dudunsparce</t>
        </is>
      </c>
      <c r="G8" s="44" t="n">
        <v>1</v>
      </c>
      <c r="H8" s="44" t="inlineStr">
        <is>
          <t>W</t>
        </is>
      </c>
      <c r="I8" s="44" t="n"/>
      <c r="J8" s="44" t="inlineStr">
        <is>
          <t>TCGLive</t>
        </is>
      </c>
      <c r="K8" s="44" t="n"/>
      <c r="L8" s="20">
        <f>IF(D8="","",IF(H8="W",1,IF(H8="L",0,"")))</f>
        <v/>
      </c>
      <c r="M8" s="20">
        <f>IF(D8="","",COUNTIFS($D$2:D8,D8))</f>
        <v/>
      </c>
      <c r="N8" s="20">
        <f>IF(D8="","",D8&amp;"|"&amp;M8)</f>
        <v/>
      </c>
      <c r="O8" s="20">
        <f>IF(D8="","",COUNTIFS($D$2:D8,D8,$H$2:H8,"W"))</f>
        <v/>
      </c>
      <c r="P8" s="22">
        <f>IF(D8="","",IFERROR(O8/M8,""))</f>
        <v/>
      </c>
      <c r="Q8" s="20">
        <f>IF(G8="","",IF(G8=1,"1°","2°"))</f>
        <v/>
      </c>
      <c r="R8" s="20">
        <f>IF(B8="","",TEXT(B8,"mmm-yyyy"))</f>
        <v/>
      </c>
    </row>
    <row r="9" ht="15.75" customHeight="1" s="54">
      <c r="A9" s="48" t="n">
        <v>8</v>
      </c>
      <c r="B9" s="24" t="n">
        <v>46236</v>
      </c>
      <c r="C9" s="48" t="inlineStr">
        <is>
          <t>TEF-PBL</t>
        </is>
      </c>
      <c r="D9" s="48" t="inlineStr">
        <is>
          <t>Grimmsnarl ex Froslass</t>
        </is>
      </c>
      <c r="E9" s="48" t="inlineStr">
        <is>
          <t>Grimmsnarl v1</t>
        </is>
      </c>
      <c r="F9" s="48" t="inlineStr">
        <is>
          <t>Slowking</t>
        </is>
      </c>
      <c r="G9" s="48" t="n">
        <v>2</v>
      </c>
      <c r="H9" s="48" t="inlineStr">
        <is>
          <t>L</t>
        </is>
      </c>
      <c r="I9" s="48" t="inlineStr">
        <is>
          <t>Unlucky</t>
        </is>
      </c>
      <c r="J9" s="48" t="inlineStr">
        <is>
          <t>TCGLive</t>
        </is>
      </c>
      <c r="K9" s="48" t="n"/>
      <c r="L9" s="25">
        <f>IF(D9="","",IF(H9="W",1,IF(H9="L",0,"")))</f>
        <v/>
      </c>
      <c r="M9" s="25">
        <f>IF(D9="","",COUNTIFS($D$2:D9,D9))</f>
        <v/>
      </c>
      <c r="N9" s="25">
        <f>IF(D9="","",D9&amp;"|"&amp;M9)</f>
        <v/>
      </c>
      <c r="O9" s="25">
        <f>IF(D9="","",COUNTIFS($D$2:D9,D9,$H$2:H9,"W"))</f>
        <v/>
      </c>
      <c r="P9" s="26">
        <f>IF(D9="","",IFERROR(O9/M9,""))</f>
        <v/>
      </c>
      <c r="Q9" s="25">
        <f>IF(G9="","",IF(G9=1,"1°","2°"))</f>
        <v/>
      </c>
      <c r="R9" s="25">
        <f>IF(B9="","",TEXT(B9,"mmm-yyyy"))</f>
        <v/>
      </c>
    </row>
    <row r="10" ht="15.75" customHeight="1" s="54">
      <c r="A10" s="44" t="n">
        <v>9</v>
      </c>
      <c r="B10" s="42" t="n">
        <v>46236</v>
      </c>
      <c r="C10" s="44" t="inlineStr">
        <is>
          <t>TEF-PBL</t>
        </is>
      </c>
      <c r="D10" s="44" t="inlineStr">
        <is>
          <t>Grimmsnarl ex Froslass</t>
        </is>
      </c>
      <c r="E10" s="44" t="inlineStr">
        <is>
          <t>Grimmsnarl v1</t>
        </is>
      </c>
      <c r="F10" s="44" t="inlineStr">
        <is>
          <t>MegaExcadrill ex</t>
        </is>
      </c>
      <c r="G10" s="44" t="n">
        <v>1</v>
      </c>
      <c r="H10" s="44" t="inlineStr">
        <is>
          <t>W</t>
        </is>
      </c>
      <c r="I10" s="44" t="inlineStr">
        <is>
          <t>Bad Start</t>
        </is>
      </c>
      <c r="J10" s="44" t="inlineStr">
        <is>
          <t>TCGLive</t>
        </is>
      </c>
      <c r="K10" s="44" t="inlineStr">
        <is>
          <t>Doppio froslass puoi ignorare mega excadrill</t>
        </is>
      </c>
      <c r="L10" s="20">
        <f>IF(D10="","",IF(H10="W",1,IF(H10="L",0,"")))</f>
        <v/>
      </c>
      <c r="M10" s="20">
        <f>IF(D10="","",COUNTIFS($D$2:D10,D10))</f>
        <v/>
      </c>
      <c r="N10" s="20">
        <f>IF(D10="","",D10&amp;"|"&amp;M10)</f>
        <v/>
      </c>
      <c r="O10" s="20">
        <f>IF(D10="","",COUNTIFS($D$2:D10,D10,$H$2:H10,"W"))</f>
        <v/>
      </c>
      <c r="P10" s="22">
        <f>IF(D10="","",IFERROR(O10/M10,""))</f>
        <v/>
      </c>
      <c r="Q10" s="20">
        <f>IF(G10="","",IF(G10=1,"1°","2°"))</f>
        <v/>
      </c>
      <c r="R10" s="20">
        <f>IF(B10="","",TEXT(B10,"mmm-yyyy"))</f>
        <v/>
      </c>
    </row>
    <row r="11" ht="15.75" customHeight="1" s="54">
      <c r="A11" s="48" t="n">
        <v>10</v>
      </c>
      <c r="B11" s="24" t="n">
        <v>46236</v>
      </c>
      <c r="C11" s="48" t="inlineStr">
        <is>
          <t>TEF-PBL</t>
        </is>
      </c>
      <c r="D11" s="48" t="inlineStr">
        <is>
          <t>Grimmsnarl ex Froslass</t>
        </is>
      </c>
      <c r="E11" s="48" t="inlineStr">
        <is>
          <t>Grimmsnarl v1</t>
        </is>
      </c>
      <c r="F11" s="48" t="inlineStr">
        <is>
          <t>Spineferree ex Bastiodon</t>
        </is>
      </c>
      <c r="G11" s="48" t="n">
        <v>2</v>
      </c>
      <c r="H11" s="48" t="inlineStr">
        <is>
          <t>W</t>
        </is>
      </c>
      <c r="I11" s="48" t="inlineStr">
        <is>
          <t>Good Opening</t>
        </is>
      </c>
      <c r="J11" s="48" t="inlineStr">
        <is>
          <t>TCGLive</t>
        </is>
      </c>
      <c r="K11" s="48" t="inlineStr">
        <is>
          <t>Carica preventivamente Grimm</t>
        </is>
      </c>
      <c r="L11" s="25">
        <f>IF(D11="","",IF(H11="W",1,IF(H11="L",0,"")))</f>
        <v/>
      </c>
      <c r="M11" s="25">
        <f>IF(D11="","",COUNTIFS($D$2:D11,D11))</f>
        <v/>
      </c>
      <c r="N11" s="25">
        <f>IF(D11="","",D11&amp;"|"&amp;M11)</f>
        <v/>
      </c>
      <c r="O11" s="25">
        <f>IF(D11="","",COUNTIFS($D$2:D11,D11,$H$2:H11,"W"))</f>
        <v/>
      </c>
      <c r="P11" s="26">
        <f>IF(D11="","",IFERROR(O11/M11,""))</f>
        <v/>
      </c>
      <c r="Q11" s="25">
        <f>IF(G11="","",IF(G11=1,"1°","2°"))</f>
        <v/>
      </c>
      <c r="R11" s="25">
        <f>IF(B11="","",TEXT(B11,"mmm-yyyy"))</f>
        <v/>
      </c>
    </row>
    <row r="12" ht="15.75" customHeight="1" s="54">
      <c r="A12" s="44" t="n">
        <v>11</v>
      </c>
      <c r="B12" s="42" t="n">
        <v>46237</v>
      </c>
      <c r="C12" s="44" t="inlineStr">
        <is>
          <t>TEF-PBL</t>
        </is>
      </c>
      <c r="D12" s="44" t="inlineStr">
        <is>
          <t>Grimmsnarl ex Froslass</t>
        </is>
      </c>
      <c r="E12" s="44" t="inlineStr">
        <is>
          <t>Grimmsnarl v1</t>
        </is>
      </c>
      <c r="F12" s="44" t="inlineStr">
        <is>
          <t>Area Della Festa</t>
        </is>
      </c>
      <c r="G12" s="44" t="n">
        <v>2</v>
      </c>
      <c r="H12" s="44" t="inlineStr">
        <is>
          <t>W</t>
        </is>
      </c>
      <c r="I12" s="44" t="n"/>
      <c r="J12" s="44" t="inlineStr">
        <is>
          <t>TCGLive</t>
        </is>
      </c>
      <c r="K12" s="44" t="inlineStr">
        <is>
          <t>Doppio froslass tieni 1 premio di board</t>
        </is>
      </c>
      <c r="L12" s="20">
        <f>IF(D12="","",IF(H12="W",1,IF(H12="L",0,"")))</f>
        <v/>
      </c>
      <c r="M12" s="20">
        <f>IF(D12="","",COUNTIFS($D$2:D12,D12))</f>
        <v/>
      </c>
      <c r="N12" s="20">
        <f>IF(D12="","",D12&amp;"|"&amp;M12)</f>
        <v/>
      </c>
      <c r="O12" s="20">
        <f>IF(D12="","",COUNTIFS($D$2:D12,D12,$H$2:H12,"W"))</f>
        <v/>
      </c>
      <c r="P12" s="22">
        <f>IF(D12="","",IFERROR(O12/M12,""))</f>
        <v/>
      </c>
      <c r="Q12" s="20">
        <f>IF(G12="","",IF(G12=1,"1°","2°"))</f>
        <v/>
      </c>
      <c r="R12" s="20">
        <f>IF(B12="","",TEXT(B12,"mmm-yyyy"))</f>
        <v/>
      </c>
    </row>
    <row r="13" ht="15.75" customHeight="1" s="54">
      <c r="A13" s="48" t="n">
        <v>12</v>
      </c>
      <c r="B13" s="24" t="n">
        <v>46237</v>
      </c>
      <c r="C13" s="48" t="inlineStr">
        <is>
          <t>TEF-PBL</t>
        </is>
      </c>
      <c r="D13" s="48" t="inlineStr">
        <is>
          <t>Grimmsnarl ex Froslass</t>
        </is>
      </c>
      <c r="E13" s="48" t="inlineStr">
        <is>
          <t>Grimmsnarl v1</t>
        </is>
      </c>
      <c r="F13" s="48" t="inlineStr">
        <is>
          <t>Dragapult ex</t>
        </is>
      </c>
      <c r="G13" s="48" t="n">
        <v>1</v>
      </c>
      <c r="H13" s="48" t="inlineStr">
        <is>
          <t>W</t>
        </is>
      </c>
      <c r="I13" s="48" t="inlineStr">
        <is>
          <t>Good Opening</t>
        </is>
      </c>
      <c r="J13" s="48" t="inlineStr">
        <is>
          <t>TCGLive</t>
        </is>
      </c>
      <c r="K13" s="48" t="n"/>
      <c r="L13" s="25">
        <f>IF(D13="","",IF(H13="W",1,IF(H13="L",0,"")))</f>
        <v/>
      </c>
      <c r="M13" s="25">
        <f>IF(D13="","",COUNTIFS($D$2:D13,D13))</f>
        <v/>
      </c>
      <c r="N13" s="25">
        <f>IF(D13="","",D13&amp;"|"&amp;M13)</f>
        <v/>
      </c>
      <c r="O13" s="25">
        <f>IF(D13="","",COUNTIFS($D$2:D13,D13,$H$2:H13,"W"))</f>
        <v/>
      </c>
      <c r="P13" s="26">
        <f>IF(D13="","",IFERROR(O13/M13,""))</f>
        <v/>
      </c>
      <c r="Q13" s="25">
        <f>IF(G13="","",IF(G13=1,"1°","2°"))</f>
        <v/>
      </c>
      <c r="R13" s="25">
        <f>IF(B13="","",TEXT(B13,"mmm-yyyy"))</f>
        <v/>
      </c>
    </row>
    <row r="14" ht="15.75" customHeight="1" s="54">
      <c r="A14" s="44" t="n">
        <v>13</v>
      </c>
      <c r="B14" s="42" t="n">
        <v>46237</v>
      </c>
      <c r="C14" s="44" t="inlineStr">
        <is>
          <t>TEF-PBL</t>
        </is>
      </c>
      <c r="D14" s="44" t="inlineStr">
        <is>
          <t>Grimmsnarl ex Froslass</t>
        </is>
      </c>
      <c r="E14" s="44" t="inlineStr">
        <is>
          <t>Grimmsnarl v1</t>
        </is>
      </c>
      <c r="F14" s="44" t="inlineStr">
        <is>
          <t>Grimmsnarl ex Froslass</t>
        </is>
      </c>
      <c r="G14" s="44" t="n">
        <v>1</v>
      </c>
      <c r="H14" s="44" t="inlineStr">
        <is>
          <t>W</t>
        </is>
      </c>
      <c r="I14" s="44" t="inlineStr">
        <is>
          <t>Good Opening</t>
        </is>
      </c>
      <c r="J14" s="44" t="inlineStr">
        <is>
          <t>TCGLive</t>
        </is>
      </c>
      <c r="K14" s="44" t="inlineStr">
        <is>
          <t>Non mettere mai budew soprattutto se si è già settato, forse da secondo si</t>
        </is>
      </c>
      <c r="L14" s="20">
        <f>IF(D14="","",IF(H14="W",1,IF(H14="L",0,"")))</f>
        <v/>
      </c>
      <c r="M14" s="20">
        <f>IF(D14="","",COUNTIFS($D$2:D14,D14))</f>
        <v/>
      </c>
      <c r="N14" s="20">
        <f>IF(D14="","",D14&amp;"|"&amp;M14)</f>
        <v/>
      </c>
      <c r="O14" s="20">
        <f>IF(D14="","",COUNTIFS($D$2:D14,D14,$H$2:H14,"W"))</f>
        <v/>
      </c>
      <c r="P14" s="22">
        <f>IF(D14="","",IFERROR(O14/M14,""))</f>
        <v/>
      </c>
      <c r="Q14" s="20">
        <f>IF(G14="","",IF(G14=1,"1°","2°"))</f>
        <v/>
      </c>
      <c r="R14" s="20">
        <f>IF(B14="","",TEXT(B14,"mmm-yyyy"))</f>
        <v/>
      </c>
    </row>
    <row r="15" ht="15.75" customHeight="1" s="54">
      <c r="A15" s="48" t="n">
        <v>14</v>
      </c>
      <c r="B15" s="24" t="n">
        <v>46238</v>
      </c>
      <c r="C15" s="48" t="inlineStr">
        <is>
          <t>TEF-PBL</t>
        </is>
      </c>
      <c r="D15" s="48" t="inlineStr">
        <is>
          <t>Grimmsnarl ex Froslass</t>
        </is>
      </c>
      <c r="E15" s="48" t="inlineStr">
        <is>
          <t>Grimmsnarl v1</t>
        </is>
      </c>
      <c r="F15" s="48" t="inlineStr">
        <is>
          <t>Toucannon Dusknoir</t>
        </is>
      </c>
      <c r="G15" s="48" t="n">
        <v>1</v>
      </c>
      <c r="H15" s="48" t="inlineStr">
        <is>
          <t>W</t>
        </is>
      </c>
      <c r="I15" s="48" t="n"/>
      <c r="J15" s="48" t="inlineStr">
        <is>
          <t>TCGLive</t>
        </is>
      </c>
      <c r="K15" s="48" t="inlineStr">
        <is>
          <t>Servono 13 pokemon per fare 320, attento quindi ai froslass</t>
        </is>
      </c>
      <c r="L15" s="25">
        <f>IF(D15="","",IF(H15="W",1,IF(H15="L",0,"")))</f>
        <v/>
      </c>
      <c r="M15" s="25">
        <f>IF(D15="","",COUNTIFS($D$2:D15,D15))</f>
        <v/>
      </c>
      <c r="N15" s="25">
        <f>IF(D15="","",D15&amp;"|"&amp;M15)</f>
        <v/>
      </c>
      <c r="O15" s="25">
        <f>IF(D15="","",COUNTIFS($D$2:D15,D15,$H$2:H15,"W"))</f>
        <v/>
      </c>
      <c r="P15" s="26">
        <f>IF(D15="","",IFERROR(O15/M15,""))</f>
        <v/>
      </c>
      <c r="Q15" s="25">
        <f>IF(G15="","",IF(G15=1,"1°","2°"))</f>
        <v/>
      </c>
      <c r="R15" s="25">
        <f>IF(B15="","",TEXT(B15,"mmm-yyyy"))</f>
        <v/>
      </c>
    </row>
    <row r="16" ht="15.75" customHeight="1" s="54">
      <c r="A16" s="44" t="n">
        <v>15</v>
      </c>
      <c r="B16" s="42" t="n">
        <v>46238</v>
      </c>
      <c r="C16" s="44" t="inlineStr">
        <is>
          <t>TEF-PBL</t>
        </is>
      </c>
      <c r="D16" s="44" t="inlineStr">
        <is>
          <t>Grimmsnarl ex Froslass</t>
        </is>
      </c>
      <c r="E16" s="44" t="inlineStr">
        <is>
          <t>Grimmsnarl v1</t>
        </is>
      </c>
      <c r="F16" s="44" t="inlineStr">
        <is>
          <t>Dragapult ex</t>
        </is>
      </c>
      <c r="G16" s="44" t="n">
        <v>1</v>
      </c>
      <c r="H16" s="44" t="inlineStr">
        <is>
          <t>L</t>
        </is>
      </c>
      <c r="I16" s="44" t="n"/>
      <c r="J16" s="44" t="inlineStr">
        <is>
          <t>TCGLive</t>
        </is>
      </c>
      <c r="K16" s="44" t="n"/>
      <c r="L16" s="20">
        <f>IF(D16="","",IF(H16="W",1,IF(H16="L",0,"")))</f>
        <v/>
      </c>
      <c r="M16" s="20">
        <f>IF(D16="","",COUNTIFS($D$2:D16,D16))</f>
        <v/>
      </c>
      <c r="N16" s="20">
        <f>IF(D16="","",D16&amp;"|"&amp;M16)</f>
        <v/>
      </c>
      <c r="O16" s="20">
        <f>IF(D16="","",COUNTIFS($D$2:D16,D16,$H$2:H16,"W"))</f>
        <v/>
      </c>
      <c r="P16" s="22">
        <f>IF(D16="","",IFERROR(O16/M16,""))</f>
        <v/>
      </c>
      <c r="Q16" s="20">
        <f>IF(G16="","",IF(G16=1,"1°","2°"))</f>
        <v/>
      </c>
      <c r="R16" s="20">
        <f>IF(B16="","",TEXT(B16,"mmm-yyyy"))</f>
        <v/>
      </c>
    </row>
    <row r="17" ht="15.75" customHeight="1" s="54">
      <c r="A17" s="48" t="n">
        <v>16</v>
      </c>
      <c r="B17" s="24" t="n">
        <v>46238</v>
      </c>
      <c r="C17" s="48" t="inlineStr">
        <is>
          <t>TEF-PBL</t>
        </is>
      </c>
      <c r="D17" s="48" t="inlineStr">
        <is>
          <t>Grimmsnarl ex Froslass</t>
        </is>
      </c>
      <c r="E17" s="48" t="inlineStr">
        <is>
          <t>Grimmsnarl v1</t>
        </is>
      </c>
      <c r="F17" s="48" t="inlineStr">
        <is>
          <t>MegaStarmie ex Dragapult</t>
        </is>
      </c>
      <c r="G17" s="48" t="n">
        <v>1</v>
      </c>
      <c r="H17" s="48" t="inlineStr">
        <is>
          <t>L</t>
        </is>
      </c>
      <c r="I17" s="48" t="inlineStr">
        <is>
          <t>Bad Start</t>
        </is>
      </c>
      <c r="J17" s="48" t="inlineStr">
        <is>
          <t>TCGLive</t>
        </is>
      </c>
      <c r="K17" s="48" t="n"/>
      <c r="L17" s="25">
        <f>IF(D17="","",IF(H17="W",1,IF(H17="L",0,"")))</f>
        <v/>
      </c>
      <c r="M17" s="25">
        <f>IF(D17="","",COUNTIFS($D$2:D17,D17))</f>
        <v/>
      </c>
      <c r="N17" s="25">
        <f>IF(D17="","",D17&amp;"|"&amp;M17)</f>
        <v/>
      </c>
      <c r="O17" s="25">
        <f>IF(D17="","",COUNTIFS($D$2:D17,D17,$H$2:H17,"W"))</f>
        <v/>
      </c>
      <c r="P17" s="26">
        <f>IF(D17="","",IFERROR(O17/M17,""))</f>
        <v/>
      </c>
      <c r="Q17" s="25">
        <f>IF(G17="","",IF(G17=1,"1°","2°"))</f>
        <v/>
      </c>
      <c r="R17" s="25">
        <f>IF(B17="","",TEXT(B17,"mmm-yyyy"))</f>
        <v/>
      </c>
    </row>
    <row r="18" ht="15.75" customHeight="1" s="54">
      <c r="A18" s="44" t="n">
        <v>17</v>
      </c>
      <c r="B18" s="42" t="n">
        <v>46238</v>
      </c>
      <c r="C18" s="44" t="inlineStr">
        <is>
          <t>TEF-PBL</t>
        </is>
      </c>
      <c r="D18" s="44" t="inlineStr">
        <is>
          <t>Grimmsnarl ex Froslass</t>
        </is>
      </c>
      <c r="E18" s="44" t="inlineStr">
        <is>
          <t>Grimmsnarl v1</t>
        </is>
      </c>
      <c r="F18" s="44" t="inlineStr">
        <is>
          <t>MegaExcadrill ex</t>
        </is>
      </c>
      <c r="G18" s="44" t="n">
        <v>1</v>
      </c>
      <c r="H18" s="44" t="inlineStr">
        <is>
          <t>L</t>
        </is>
      </c>
      <c r="I18" s="44" t="inlineStr">
        <is>
          <t>Bad Start</t>
        </is>
      </c>
      <c r="J18" s="44" t="inlineStr">
        <is>
          <t>TCGLive</t>
        </is>
      </c>
      <c r="K18" s="44" t="n"/>
      <c r="L18" s="20">
        <f>IF(D18="","",IF(H18="W",1,IF(H18="L",0,"")))</f>
        <v/>
      </c>
      <c r="M18" s="20">
        <f>IF(D18="","",COUNTIFS($D$2:D18,D18))</f>
        <v/>
      </c>
      <c r="N18" s="20">
        <f>IF(D18="","",D18&amp;"|"&amp;M18)</f>
        <v/>
      </c>
      <c r="O18" s="20">
        <f>IF(D18="","",COUNTIFS($D$2:D18,D18,$H$2:H18,"W"))</f>
        <v/>
      </c>
      <c r="P18" s="22">
        <f>IF(D18="","",IFERROR(O18/M18,""))</f>
        <v/>
      </c>
      <c r="Q18" s="20">
        <f>IF(G18="","",IF(G18=1,"1°","2°"))</f>
        <v/>
      </c>
      <c r="R18" s="20">
        <f>IF(B18="","",TEXT(B18,"mmm-yyyy"))</f>
        <v/>
      </c>
    </row>
    <row r="19" ht="15.75" customHeight="1" s="54">
      <c r="A19" s="48" t="n">
        <v>18</v>
      </c>
      <c r="B19" s="24" t="n">
        <v>46238</v>
      </c>
      <c r="C19" s="48" t="inlineStr">
        <is>
          <t>TEF-PBL</t>
        </is>
      </c>
      <c r="D19" s="48" t="inlineStr">
        <is>
          <t>Dragapult ex</t>
        </is>
      </c>
      <c r="E19" s="48" t="inlineStr">
        <is>
          <t>Dragapult v1</t>
        </is>
      </c>
      <c r="F19" s="48" t="inlineStr">
        <is>
          <t>Honchkrow Porygon2</t>
        </is>
      </c>
      <c r="G19" s="48" t="n">
        <v>1</v>
      </c>
      <c r="H19" s="48" t="inlineStr">
        <is>
          <t>W</t>
        </is>
      </c>
      <c r="I19" s="48" t="n"/>
      <c r="J19" s="48" t="inlineStr">
        <is>
          <t>TCGLive</t>
        </is>
      </c>
      <c r="K19" s="48" t="n"/>
      <c r="L19" s="25">
        <f>IF(D19="","",IF(H19="W",1,IF(H19="L",0,"")))</f>
        <v/>
      </c>
      <c r="M19" s="25">
        <f>IF(D19="","",COUNTIFS($D$2:D19,D19))</f>
        <v/>
      </c>
      <c r="N19" s="25">
        <f>IF(D19="","",D19&amp;"|"&amp;M19)</f>
        <v/>
      </c>
      <c r="O19" s="25">
        <f>IF(D19="","",COUNTIFS($D$2:D19,D19,$H$2:H19,"W"))</f>
        <v/>
      </c>
      <c r="P19" s="26">
        <f>IF(D19="","",IFERROR(O19/M19,""))</f>
        <v/>
      </c>
      <c r="Q19" s="25">
        <f>IF(G19="","",IF(G19=1,"1°","2°"))</f>
        <v/>
      </c>
      <c r="R19" s="25">
        <f>IF(B19="","",TEXT(B19,"mmm-yyyy"))</f>
        <v/>
      </c>
    </row>
    <row r="20" ht="15.75" customHeight="1" s="54">
      <c r="A20" s="44" t="n">
        <v>19</v>
      </c>
      <c r="B20" s="42" t="n">
        <v>46238</v>
      </c>
      <c r="C20" s="44" t="inlineStr">
        <is>
          <t>TEF-PBL</t>
        </is>
      </c>
      <c r="D20" s="44" t="inlineStr">
        <is>
          <t>Dragapult ex</t>
        </is>
      </c>
      <c r="E20" s="44" t="inlineStr">
        <is>
          <t>Dragapult v1</t>
        </is>
      </c>
      <c r="F20" s="44" t="inlineStr">
        <is>
          <t>Honchkrow Porygon2</t>
        </is>
      </c>
      <c r="G20" s="44" t="n">
        <v>1</v>
      </c>
      <c r="H20" s="44" t="inlineStr">
        <is>
          <t>W</t>
        </is>
      </c>
      <c r="I20" s="44" t="n"/>
      <c r="J20" s="44" t="inlineStr">
        <is>
          <t>TCGLive</t>
        </is>
      </c>
      <c r="K20" s="44" t="n"/>
      <c r="L20" s="20">
        <f>IF(D20="","",IF(H20="W",1,IF(H20="L",0,"")))</f>
        <v/>
      </c>
      <c r="M20" s="20">
        <f>IF(D20="","",COUNTIFS($D$2:D20,D20))</f>
        <v/>
      </c>
      <c r="N20" s="20">
        <f>IF(D20="","",D20&amp;"|"&amp;M20)</f>
        <v/>
      </c>
      <c r="O20" s="20">
        <f>IF(D20="","",COUNTIFS($D$2:D20,D20,$H$2:H20,"W"))</f>
        <v/>
      </c>
      <c r="P20" s="22">
        <f>IF(D20="","",IFERROR(O20/M20,""))</f>
        <v/>
      </c>
      <c r="Q20" s="20">
        <f>IF(G20="","",IF(G20=1,"1°","2°"))</f>
        <v/>
      </c>
      <c r="R20" s="20">
        <f>IF(B20="","",TEXT(B20,"mmm-yyyy"))</f>
        <v/>
      </c>
    </row>
    <row r="21" ht="15.75" customHeight="1" s="54">
      <c r="A21" s="48" t="n">
        <v>20</v>
      </c>
      <c r="B21" s="24" t="n">
        <v>46238</v>
      </c>
      <c r="C21" s="48" t="inlineStr">
        <is>
          <t>TEF-PBL</t>
        </is>
      </c>
      <c r="D21" s="48" t="inlineStr">
        <is>
          <t>Dragapult ex</t>
        </is>
      </c>
      <c r="E21" s="48" t="inlineStr">
        <is>
          <t>Dragapult v1</t>
        </is>
      </c>
      <c r="F21" s="48" t="inlineStr">
        <is>
          <t>Dhelmise Banette</t>
        </is>
      </c>
      <c r="G21" s="48" t="n">
        <v>2</v>
      </c>
      <c r="H21" s="48" t="inlineStr">
        <is>
          <t>L</t>
        </is>
      </c>
      <c r="I21" s="48" t="n"/>
      <c r="J21" s="48" t="inlineStr">
        <is>
          <t>TCGLive</t>
        </is>
      </c>
      <c r="K21" s="48" t="n"/>
      <c r="L21" s="25">
        <f>IF(D21="","",IF(H21="W",1,IF(H21="L",0,"")))</f>
        <v/>
      </c>
      <c r="M21" s="25">
        <f>IF(D21="","",COUNTIFS($D$2:D21,D21))</f>
        <v/>
      </c>
      <c r="N21" s="25">
        <f>IF(D21="","",D21&amp;"|"&amp;M21)</f>
        <v/>
      </c>
      <c r="O21" s="25">
        <f>IF(D21="","",COUNTIFS($D$2:D21,D21,$H$2:H21,"W"))</f>
        <v/>
      </c>
      <c r="P21" s="26">
        <f>IF(D21="","",IFERROR(O21/M21,""))</f>
        <v/>
      </c>
      <c r="Q21" s="25">
        <f>IF(G21="","",IF(G21=1,"1°","2°"))</f>
        <v/>
      </c>
      <c r="R21" s="25">
        <f>IF(B21="","",TEXT(B21,"mmm-yyyy"))</f>
        <v/>
      </c>
    </row>
    <row r="22" ht="15.75" customHeight="1" s="54">
      <c r="A22" s="44" t="n">
        <v>21</v>
      </c>
      <c r="B22" s="42" t="n">
        <v>46238</v>
      </c>
      <c r="C22" s="44" t="inlineStr">
        <is>
          <t>TEF-PBL</t>
        </is>
      </c>
      <c r="D22" s="44" t="inlineStr">
        <is>
          <t>Dragapult ex</t>
        </is>
      </c>
      <c r="E22" s="44" t="inlineStr">
        <is>
          <t>Dragapult v1</t>
        </is>
      </c>
      <c r="F22" s="44" t="inlineStr">
        <is>
          <t>MegaFroslass ex Chandelure</t>
        </is>
      </c>
      <c r="G22" s="44" t="n">
        <v>1</v>
      </c>
      <c r="H22" s="44" t="inlineStr">
        <is>
          <t>W</t>
        </is>
      </c>
      <c r="I22" s="44" t="n"/>
      <c r="J22" s="44" t="inlineStr">
        <is>
          <t>TCGLive</t>
        </is>
      </c>
      <c r="K22" s="44" t="n"/>
      <c r="L22" s="20">
        <f>IF(D22="","",IF(H22="W",1,IF(H22="L",0,"")))</f>
        <v/>
      </c>
      <c r="M22" s="20">
        <f>IF(D22="","",COUNTIFS($D$2:D22,D22))</f>
        <v/>
      </c>
      <c r="N22" s="20">
        <f>IF(D22="","",D22&amp;"|"&amp;M22)</f>
        <v/>
      </c>
      <c r="O22" s="20">
        <f>IF(D22="","",COUNTIFS($D$2:D22,D22,$H$2:H22,"W"))</f>
        <v/>
      </c>
      <c r="P22" s="22">
        <f>IF(D22="","",IFERROR(O22/M22,""))</f>
        <v/>
      </c>
      <c r="Q22" s="20">
        <f>IF(G22="","",IF(G22=1,"1°","2°"))</f>
        <v/>
      </c>
      <c r="R22" s="20">
        <f>IF(B22="","",TEXT(B22,"mmm-yyyy"))</f>
        <v/>
      </c>
    </row>
    <row r="23" ht="15.75" customHeight="1" s="54">
      <c r="A23" s="48" t="n">
        <v>22</v>
      </c>
      <c r="B23" s="24" t="n">
        <v>46238</v>
      </c>
      <c r="C23" s="48" t="inlineStr">
        <is>
          <t>TEF-PBL</t>
        </is>
      </c>
      <c r="D23" s="48" t="inlineStr">
        <is>
          <t>Dragapult ex</t>
        </is>
      </c>
      <c r="E23" s="48" t="inlineStr">
        <is>
          <t>Dragapult v1</t>
        </is>
      </c>
      <c r="F23" s="48" t="inlineStr">
        <is>
          <t>MegaExcadrill ex</t>
        </is>
      </c>
      <c r="G23" s="48" t="n">
        <v>1</v>
      </c>
      <c r="H23" s="48" t="inlineStr">
        <is>
          <t>L</t>
        </is>
      </c>
      <c r="I23" s="48" t="inlineStr">
        <is>
          <t>Bad Start</t>
        </is>
      </c>
      <c r="J23" s="48" t="inlineStr">
        <is>
          <t>TCGLive</t>
        </is>
      </c>
      <c r="K23" s="48" t="n"/>
      <c r="L23" s="25">
        <f>IF(D23="","",IF(H23="W",1,IF(H23="L",0,"")))</f>
        <v/>
      </c>
      <c r="M23" s="25">
        <f>IF(D23="","",COUNTIFS($D$2:D23,D23))</f>
        <v/>
      </c>
      <c r="N23" s="25">
        <f>IF(D23="","",D23&amp;"|"&amp;M23)</f>
        <v/>
      </c>
      <c r="O23" s="25">
        <f>IF(D23="","",COUNTIFS($D$2:D23,D23,$H$2:H23,"W"))</f>
        <v/>
      </c>
      <c r="P23" s="26">
        <f>IF(D23="","",IFERROR(O23/M23,""))</f>
        <v/>
      </c>
      <c r="Q23" s="25">
        <f>IF(G23="","",IF(G23=1,"1°","2°"))</f>
        <v/>
      </c>
      <c r="R23" s="25">
        <f>IF(B23="","",TEXT(B23,"mmm-yyyy"))</f>
        <v/>
      </c>
    </row>
    <row r="24" ht="15.75" customHeight="1" s="54">
      <c r="A24" s="44" t="n">
        <v>23</v>
      </c>
      <c r="B24" s="42" t="n">
        <v>46238</v>
      </c>
      <c r="C24" s="44" t="inlineStr">
        <is>
          <t>TEF-PBL</t>
        </is>
      </c>
      <c r="D24" s="44" t="inlineStr">
        <is>
          <t>Dragapult ex</t>
        </is>
      </c>
      <c r="E24" s="44" t="inlineStr">
        <is>
          <t>Dragapult v1</t>
        </is>
      </c>
      <c r="F24" s="44" t="inlineStr">
        <is>
          <t>MegaLucario ex</t>
        </is>
      </c>
      <c r="G24" s="44" t="n">
        <v>1</v>
      </c>
      <c r="H24" s="44" t="inlineStr">
        <is>
          <t>W</t>
        </is>
      </c>
      <c r="I24" s="44" t="n"/>
      <c r="J24" s="44" t="inlineStr">
        <is>
          <t>TCGLive</t>
        </is>
      </c>
      <c r="K24" s="44" t="n"/>
      <c r="L24" s="20">
        <f>IF(D24="","",IF(H24="W",1,IF(H24="L",0,"")))</f>
        <v/>
      </c>
      <c r="M24" s="20">
        <f>IF(D24="","",COUNTIFS($D$2:D24,D24))</f>
        <v/>
      </c>
      <c r="N24" s="20">
        <f>IF(D24="","",D24&amp;"|"&amp;M24)</f>
        <v/>
      </c>
      <c r="O24" s="20">
        <f>IF(D24="","",COUNTIFS($D$2:D24,D24,$H$2:H24,"W"))</f>
        <v/>
      </c>
      <c r="P24" s="22">
        <f>IF(D24="","",IFERROR(O24/M24,""))</f>
        <v/>
      </c>
      <c r="Q24" s="20">
        <f>IF(G24="","",IF(G24=1,"1°","2°"))</f>
        <v/>
      </c>
      <c r="R24" s="20">
        <f>IF(B24="","",TEXT(B24,"mmm-yyyy"))</f>
        <v/>
      </c>
    </row>
    <row r="25" ht="15.75" customHeight="1" s="54">
      <c r="A25" s="48" t="n">
        <v>24</v>
      </c>
      <c r="B25" s="24" t="n">
        <v>46239</v>
      </c>
      <c r="C25" s="48" t="inlineStr">
        <is>
          <t>TEF-PBL</t>
        </is>
      </c>
      <c r="D25" s="48" t="inlineStr">
        <is>
          <t>Dragapult ex</t>
        </is>
      </c>
      <c r="E25" s="48" t="inlineStr">
        <is>
          <t>Dragapult v1</t>
        </is>
      </c>
      <c r="F25" s="48" t="inlineStr">
        <is>
          <t>Alakazam Dudunsparce</t>
        </is>
      </c>
      <c r="G25" s="48" t="n">
        <v>1</v>
      </c>
      <c r="H25" s="48" t="inlineStr">
        <is>
          <t>W</t>
        </is>
      </c>
      <c r="I25" s="48" t="inlineStr">
        <is>
          <t>Good Start</t>
        </is>
      </c>
      <c r="J25" s="48" t="inlineStr">
        <is>
          <t>TCGLive</t>
        </is>
      </c>
      <c r="K25" s="48" t="n"/>
      <c r="L25" s="25">
        <f>IF(D25="","",IF(H25="W",1,IF(H25="L",0,"")))</f>
        <v/>
      </c>
      <c r="M25" s="25">
        <f>IF(D25="","",COUNTIFS($D$2:D25,D25))</f>
        <v/>
      </c>
      <c r="N25" s="25">
        <f>IF(D25="","",D25&amp;"|"&amp;M25)</f>
        <v/>
      </c>
      <c r="O25" s="25">
        <f>IF(D25="","",COUNTIFS($D$2:D25,D25,$H$2:H25,"W"))</f>
        <v/>
      </c>
      <c r="P25" s="26">
        <f>IF(D25="","",IFERROR(O25/M25,""))</f>
        <v/>
      </c>
      <c r="Q25" s="25">
        <f>IF(G25="","",IF(G25=1,"1°","2°"))</f>
        <v/>
      </c>
      <c r="R25" s="25">
        <f>IF(B25="","",TEXT(B25,"mmm-yyyy"))</f>
        <v/>
      </c>
    </row>
    <row r="26" ht="15.75" customHeight="1" s="54">
      <c r="A26" s="44" t="n">
        <v>25</v>
      </c>
      <c r="B26" s="42" t="n">
        <v>46239</v>
      </c>
      <c r="C26" s="44" t="inlineStr">
        <is>
          <t>TEF-PBL</t>
        </is>
      </c>
      <c r="D26" s="44" t="inlineStr">
        <is>
          <t>Dragapult ex</t>
        </is>
      </c>
      <c r="E26" s="44" t="inlineStr">
        <is>
          <t>Dragapult v1</t>
        </is>
      </c>
      <c r="F26" s="44" t="inlineStr">
        <is>
          <t>Garchomp ex</t>
        </is>
      </c>
      <c r="G26" s="44" t="n">
        <v>2</v>
      </c>
      <c r="H26" s="44" t="inlineStr">
        <is>
          <t>L</t>
        </is>
      </c>
      <c r="I26" s="44" t="inlineStr">
        <is>
          <t>Bad Start</t>
        </is>
      </c>
      <c r="J26" s="44" t="inlineStr">
        <is>
          <t>TCGLive</t>
        </is>
      </c>
      <c r="K26" s="44" t="n"/>
      <c r="L26" s="20">
        <f>IF(D26="","",IF(H26="W",1,IF(H26="L",0,"")))</f>
        <v/>
      </c>
      <c r="M26" s="20">
        <f>IF(D26="","",COUNTIFS($D$2:D26,D26))</f>
        <v/>
      </c>
      <c r="N26" s="20">
        <f>IF(D26="","",D26&amp;"|"&amp;M26)</f>
        <v/>
      </c>
      <c r="O26" s="20">
        <f>IF(D26="","",COUNTIFS($D$2:D26,D26,$H$2:H26,"W"))</f>
        <v/>
      </c>
      <c r="P26" s="22">
        <f>IF(D26="","",IFERROR(O26/M26,""))</f>
        <v/>
      </c>
      <c r="Q26" s="20">
        <f>IF(G26="","",IF(G26=1,"1°","2°"))</f>
        <v/>
      </c>
      <c r="R26" s="20">
        <f>IF(B26="","",TEXT(B26,"mmm-yyyy"))</f>
        <v/>
      </c>
    </row>
    <row r="27" ht="15.75" customHeight="1" s="54">
      <c r="A27" s="48" t="n">
        <v>26</v>
      </c>
      <c r="B27" s="24" t="n">
        <v>46239</v>
      </c>
      <c r="C27" s="48" t="inlineStr">
        <is>
          <t>TEF-PBL</t>
        </is>
      </c>
      <c r="D27" s="48" t="inlineStr">
        <is>
          <t>Dragapult ex</t>
        </is>
      </c>
      <c r="E27" s="48" t="inlineStr">
        <is>
          <t>Dragapult v1</t>
        </is>
      </c>
      <c r="F27" s="48" t="inlineStr">
        <is>
          <t>Area Della Festa</t>
        </is>
      </c>
      <c r="G27" s="48" t="n">
        <v>1</v>
      </c>
      <c r="H27" s="48" t="inlineStr">
        <is>
          <t>W</t>
        </is>
      </c>
      <c r="I27" s="48" t="n"/>
      <c r="J27" s="48" t="inlineStr">
        <is>
          <t>TCGLive</t>
        </is>
      </c>
      <c r="K27" s="48" t="n"/>
      <c r="L27" s="25">
        <f>IF(D27="","",IF(H27="W",1,IF(H27="L",0,"")))</f>
        <v/>
      </c>
      <c r="M27" s="25">
        <f>IF(D27="","",COUNTIFS($D$2:D27,D27))</f>
        <v/>
      </c>
      <c r="N27" s="25">
        <f>IF(D27="","",D27&amp;"|"&amp;M27)</f>
        <v/>
      </c>
      <c r="O27" s="25">
        <f>IF(D27="","",COUNTIFS($D$2:D27,D27,$H$2:H27,"W"))</f>
        <v/>
      </c>
      <c r="P27" s="26">
        <f>IF(D27="","",IFERROR(O27/M27,""))</f>
        <v/>
      </c>
      <c r="Q27" s="25">
        <f>IF(G27="","",IF(G27=1,"1°","2°"))</f>
        <v/>
      </c>
      <c r="R27" s="25">
        <f>IF(B27="","",TEXT(B27,"mmm-yyyy"))</f>
        <v/>
      </c>
    </row>
    <row r="28" ht="15.75" customHeight="1" s="54">
      <c r="A28" s="44" t="n">
        <v>27</v>
      </c>
      <c r="B28" s="42" t="n">
        <v>46239</v>
      </c>
      <c r="C28" s="44" t="inlineStr">
        <is>
          <t>TEF-PBL</t>
        </is>
      </c>
      <c r="D28" s="44" t="inlineStr">
        <is>
          <t>Dragapult ex</t>
        </is>
      </c>
      <c r="E28" s="44" t="inlineStr">
        <is>
          <t>Dragapult v1</t>
        </is>
      </c>
      <c r="F28" s="44" t="inlineStr">
        <is>
          <t>Typhlosion</t>
        </is>
      </c>
      <c r="G28" s="44" t="n">
        <v>1</v>
      </c>
      <c r="H28" s="44" t="inlineStr">
        <is>
          <t>W</t>
        </is>
      </c>
      <c r="I28" s="44" t="n"/>
      <c r="J28" s="44" t="inlineStr">
        <is>
          <t>TCGLive</t>
        </is>
      </c>
      <c r="K28" s="44" t="inlineStr">
        <is>
          <t>Con 3 ethan victini e brave bangle ti uccidono 320</t>
        </is>
      </c>
      <c r="L28" s="20">
        <f>IF(D28="","",IF(H28="W",1,IF(H28="L",0,"")))</f>
        <v/>
      </c>
      <c r="M28" s="20">
        <f>IF(D28="","",COUNTIFS($D$2:D28,D28))</f>
        <v/>
      </c>
      <c r="N28" s="20">
        <f>IF(D28="","",D28&amp;"|"&amp;M28)</f>
        <v/>
      </c>
      <c r="O28" s="20">
        <f>IF(D28="","",COUNTIFS($D$2:D28,D28,$H$2:H28,"W"))</f>
        <v/>
      </c>
      <c r="P28" s="22">
        <f>IF(D28="","",IFERROR(O28/M28,""))</f>
        <v/>
      </c>
      <c r="Q28" s="20">
        <f>IF(G28="","",IF(G28=1,"1°","2°"))</f>
        <v/>
      </c>
      <c r="R28" s="20">
        <f>IF(B28="","",TEXT(B28,"mmm-yyyy"))</f>
        <v/>
      </c>
    </row>
    <row r="29" ht="15.75" customHeight="1" s="54">
      <c r="A29" s="48" t="n">
        <v>28</v>
      </c>
      <c r="B29" s="24" t="n">
        <v>46239</v>
      </c>
      <c r="C29" s="48" t="inlineStr">
        <is>
          <t>TEF-PBL</t>
        </is>
      </c>
      <c r="D29" s="48" t="inlineStr">
        <is>
          <t>Dragapult ex</t>
        </is>
      </c>
      <c r="E29" s="48" t="inlineStr">
        <is>
          <t>Dragapult v1</t>
        </is>
      </c>
      <c r="F29" s="48" t="inlineStr">
        <is>
          <t>Area Della Festa</t>
        </is>
      </c>
      <c r="G29" s="48" t="n">
        <v>1</v>
      </c>
      <c r="H29" s="48" t="inlineStr">
        <is>
          <t>L</t>
        </is>
      </c>
      <c r="I29" s="48" t="inlineStr">
        <is>
          <t>Bad Luck</t>
        </is>
      </c>
      <c r="J29" s="48" t="inlineStr">
        <is>
          <t>TCGLive</t>
        </is>
      </c>
      <c r="K29" s="48" t="n"/>
      <c r="L29" s="25">
        <f>IF(D29="","",IF(H29="W",1,IF(H29="L",0,"")))</f>
        <v/>
      </c>
      <c r="M29" s="25">
        <f>IF(D29="","",COUNTIFS($D$2:D29,D29))</f>
        <v/>
      </c>
      <c r="N29" s="25">
        <f>IF(D29="","",D29&amp;"|"&amp;M29)</f>
        <v/>
      </c>
      <c r="O29" s="25">
        <f>IF(D29="","",COUNTIFS($D$2:D29,D29,$H$2:H29,"W"))</f>
        <v/>
      </c>
      <c r="P29" s="26">
        <f>IF(D29="","",IFERROR(O29/M29,""))</f>
        <v/>
      </c>
      <c r="Q29" s="25">
        <f>IF(G29="","",IF(G29=1,"1°","2°"))</f>
        <v/>
      </c>
      <c r="R29" s="25">
        <f>IF(B29="","",TEXT(B29,"mmm-yyyy"))</f>
        <v/>
      </c>
    </row>
    <row r="30" ht="15.75" customHeight="1" s="54">
      <c r="A30" s="44" t="n">
        <v>29</v>
      </c>
      <c r="B30" s="42" t="n">
        <v>46240</v>
      </c>
      <c r="C30" s="44" t="inlineStr">
        <is>
          <t>TEF-PBL</t>
        </is>
      </c>
      <c r="D30" s="44" t="inlineStr">
        <is>
          <t>Grimmsnarl ex Froslass</t>
        </is>
      </c>
      <c r="E30" s="44" t="inlineStr">
        <is>
          <t>Grimmsnarl v1</t>
        </is>
      </c>
      <c r="F30" s="44" t="inlineStr">
        <is>
          <t>MegaLucario ex</t>
        </is>
      </c>
      <c r="G30" s="44" t="n">
        <v>1</v>
      </c>
      <c r="H30" s="44" t="inlineStr">
        <is>
          <t>W</t>
        </is>
      </c>
      <c r="I30" s="44" t="n"/>
      <c r="J30" s="44" t="inlineStr">
        <is>
          <t>TCGLive</t>
        </is>
      </c>
      <c r="K30" s="44" t="n"/>
      <c r="L30" s="20">
        <f>IF(D30="","",IF(H30="W",1,IF(H30="L",0,"")))</f>
        <v/>
      </c>
      <c r="M30" s="20">
        <f>IF(D30="","",COUNTIFS($D$2:D30,D30))</f>
        <v/>
      </c>
      <c r="N30" s="20">
        <f>IF(D30="","",D30&amp;"|"&amp;M30)</f>
        <v/>
      </c>
      <c r="O30" s="20">
        <f>IF(D30="","",COUNTIFS($D$2:D30,D30,$H$2:H30,"W"))</f>
        <v/>
      </c>
      <c r="P30" s="22">
        <f>IF(D30="","",IFERROR(O30/M30,""))</f>
        <v/>
      </c>
      <c r="Q30" s="20">
        <f>IF(G30="","",IF(G30=1,"1°","2°"))</f>
        <v/>
      </c>
      <c r="R30" s="20">
        <f>IF(B30="","",TEXT(B30,"mmm-yyyy"))</f>
        <v/>
      </c>
    </row>
    <row r="31" ht="15.75" customHeight="1" s="54">
      <c r="A31" s="48" t="n">
        <v>30</v>
      </c>
      <c r="B31" s="24" t="n">
        <v>46240</v>
      </c>
      <c r="C31" s="48" t="inlineStr">
        <is>
          <t>TEF-PBL</t>
        </is>
      </c>
      <c r="D31" s="48" t="inlineStr">
        <is>
          <t>Grimmsnarl ex Froslass</t>
        </is>
      </c>
      <c r="E31" s="48" t="inlineStr">
        <is>
          <t>Grimmsnarl v1</t>
        </is>
      </c>
      <c r="F31" s="48" t="inlineStr">
        <is>
          <t>Dragapult ex</t>
        </is>
      </c>
      <c r="G31" s="48" t="n">
        <v>2</v>
      </c>
      <c r="H31" s="48" t="inlineStr">
        <is>
          <t>L</t>
        </is>
      </c>
      <c r="I31" s="48" t="inlineStr">
        <is>
          <t>Bad Start</t>
        </is>
      </c>
      <c r="J31" s="48" t="inlineStr">
        <is>
          <t>TCGLive</t>
        </is>
      </c>
      <c r="K31" s="48" t="n"/>
      <c r="L31" s="25">
        <f>IF(D31="","",IF(H31="W",1,IF(H31="L",0,"")))</f>
        <v/>
      </c>
      <c r="M31" s="25">
        <f>IF(D31="","",COUNTIFS($D$2:D31,D31))</f>
        <v/>
      </c>
      <c r="N31" s="25">
        <f>IF(D31="","",D31&amp;"|"&amp;M31)</f>
        <v/>
      </c>
      <c r="O31" s="25">
        <f>IF(D31="","",COUNTIFS($D$2:D31,D31,$H$2:H31,"W"))</f>
        <v/>
      </c>
      <c r="P31" s="26">
        <f>IF(D31="","",IFERROR(O31/M31,""))</f>
        <v/>
      </c>
      <c r="Q31" s="25">
        <f>IF(G31="","",IF(G31=1,"1°","2°"))</f>
        <v/>
      </c>
      <c r="R31" s="25">
        <f>IF(B31="","",TEXT(B31,"mmm-yyyy"))</f>
        <v/>
      </c>
    </row>
    <row r="32" ht="15.75" customHeight="1" s="54">
      <c r="A32" s="44" t="n">
        <v>31</v>
      </c>
      <c r="B32" s="42" t="n">
        <v>46240</v>
      </c>
      <c r="C32" s="44" t="inlineStr">
        <is>
          <t>TEF-PBL</t>
        </is>
      </c>
      <c r="D32" s="44" t="inlineStr">
        <is>
          <t>Grimmsnarl ex Froslass</t>
        </is>
      </c>
      <c r="E32" s="44" t="inlineStr">
        <is>
          <t>Grimmsnarl v1</t>
        </is>
      </c>
      <c r="F32" s="44" t="inlineStr">
        <is>
          <t>MegaGreninja ex Blaziken</t>
        </is>
      </c>
      <c r="G32" s="44" t="n">
        <v>1</v>
      </c>
      <c r="H32" s="44" t="inlineStr">
        <is>
          <t>W</t>
        </is>
      </c>
      <c r="I32" s="44" t="n"/>
      <c r="J32" s="44" t="inlineStr">
        <is>
          <t>TCGLive</t>
        </is>
      </c>
      <c r="K32" s="44" t="n"/>
      <c r="L32" s="20">
        <f>IF(D32="","",IF(H32="W",1,IF(H32="L",0,"")))</f>
        <v/>
      </c>
      <c r="M32" s="20">
        <f>IF(D32="","",COUNTIFS($D$2:D32,D32))</f>
        <v/>
      </c>
      <c r="N32" s="20">
        <f>IF(D32="","",D32&amp;"|"&amp;M32)</f>
        <v/>
      </c>
      <c r="O32" s="20">
        <f>IF(D32="","",COUNTIFS($D$2:D32,D32,$H$2:H32,"W"))</f>
        <v/>
      </c>
      <c r="P32" s="22">
        <f>IF(D32="","",IFERROR(O32/M32,""))</f>
        <v/>
      </c>
      <c r="Q32" s="20">
        <f>IF(G32="","",IF(G32=1,"1°","2°"))</f>
        <v/>
      </c>
      <c r="R32" s="20">
        <f>IF(B32="","",TEXT(B32,"mmm-yyyy"))</f>
        <v/>
      </c>
    </row>
    <row r="33" ht="15.75" customHeight="1" s="54">
      <c r="A33" s="48" t="n">
        <v>32</v>
      </c>
      <c r="B33" s="24" t="n">
        <v>46240</v>
      </c>
      <c r="C33" s="48" t="inlineStr">
        <is>
          <t>TEF-PBL</t>
        </is>
      </c>
      <c r="D33" s="48" t="inlineStr">
        <is>
          <t>Grimmsnarl ex Froslass</t>
        </is>
      </c>
      <c r="E33" s="48" t="inlineStr">
        <is>
          <t>Grimmsnarl v1</t>
        </is>
      </c>
      <c r="F33" s="48" t="inlineStr">
        <is>
          <t>Zoroark ex</t>
        </is>
      </c>
      <c r="G33" s="48" t="n">
        <v>1</v>
      </c>
      <c r="H33" s="48" t="inlineStr">
        <is>
          <t>W</t>
        </is>
      </c>
      <c r="I33" s="48" t="n"/>
      <c r="J33" s="48" t="inlineStr">
        <is>
          <t>TCGLive</t>
        </is>
      </c>
      <c r="K33" s="48" t="n"/>
      <c r="L33" s="25">
        <f>IF(D33="","",IF(H33="W",1,IF(H33="L",0,"")))</f>
        <v/>
      </c>
      <c r="M33" s="25">
        <f>IF(D33="","",COUNTIFS($D$2:D33,D33))</f>
        <v/>
      </c>
      <c r="N33" s="25">
        <f>IF(D33="","",D33&amp;"|"&amp;M33)</f>
        <v/>
      </c>
      <c r="O33" s="25">
        <f>IF(D33="","",COUNTIFS($D$2:D33,D33,$H$2:H33,"W"))</f>
        <v/>
      </c>
      <c r="P33" s="26">
        <f>IF(D33="","",IFERROR(O33/M33,""))</f>
        <v/>
      </c>
      <c r="Q33" s="25">
        <f>IF(G33="","",IF(G33=1,"1°","2°"))</f>
        <v/>
      </c>
      <c r="R33" s="25">
        <f>IF(B33="","",TEXT(B33,"mmm-yyyy"))</f>
        <v/>
      </c>
    </row>
    <row r="34" ht="15.75" customHeight="1" s="54">
      <c r="A34" s="44" t="n">
        <v>33</v>
      </c>
      <c r="B34" s="42" t="n">
        <v>46240</v>
      </c>
      <c r="C34" s="44" t="inlineStr">
        <is>
          <t>TEF-PBL</t>
        </is>
      </c>
      <c r="D34" s="44" t="inlineStr">
        <is>
          <t>Grimmsnarl ex Froslass</t>
        </is>
      </c>
      <c r="E34" s="44" t="inlineStr">
        <is>
          <t>Grimmsnarl v1</t>
        </is>
      </c>
      <c r="F34" s="44" t="inlineStr">
        <is>
          <t>Dhelmise Banette</t>
        </is>
      </c>
      <c r="G34" s="44" t="n">
        <v>2</v>
      </c>
      <c r="H34" s="44" t="inlineStr">
        <is>
          <t>W</t>
        </is>
      </c>
      <c r="I34" s="44" t="n"/>
      <c r="J34" s="44" t="inlineStr">
        <is>
          <t>TCGLive</t>
        </is>
      </c>
      <c r="K34" s="44" t="inlineStr">
        <is>
          <t>Puoi non mettere frosslass, doppio grimm il resto munki</t>
        </is>
      </c>
      <c r="L34" s="20">
        <f>IF(D34="","",IF(H34="W",1,IF(H34="L",0,"")))</f>
        <v/>
      </c>
      <c r="M34" s="20">
        <f>IF(D34="","",COUNTIFS($D$2:D34,D34))</f>
        <v/>
      </c>
      <c r="N34" s="20">
        <f>IF(D34="","",D34&amp;"|"&amp;M34)</f>
        <v/>
      </c>
      <c r="O34" s="20">
        <f>IF(D34="","",COUNTIFS($D$2:D34,D34,$H$2:H34,"W"))</f>
        <v/>
      </c>
      <c r="P34" s="22">
        <f>IF(D34="","",IFERROR(O34/M34,""))</f>
        <v/>
      </c>
      <c r="Q34" s="20">
        <f>IF(G34="","",IF(G34=1,"1°","2°"))</f>
        <v/>
      </c>
      <c r="R34" s="20">
        <f>IF(B34="","",TEXT(B34,"mmm-yyyy"))</f>
        <v/>
      </c>
    </row>
    <row r="35" ht="15.75" customHeight="1" s="54">
      <c r="A35" s="48" t="n">
        <v>34</v>
      </c>
      <c r="B35" s="24" t="n">
        <v>46240</v>
      </c>
      <c r="C35" s="48" t="inlineStr">
        <is>
          <t>TEF-PBL</t>
        </is>
      </c>
      <c r="D35" s="48" t="inlineStr">
        <is>
          <t>Grimmsnarl ex Froslass</t>
        </is>
      </c>
      <c r="E35" s="48" t="inlineStr">
        <is>
          <t>Grimmsnarl v1</t>
        </is>
      </c>
      <c r="F35" s="48" t="inlineStr">
        <is>
          <t>Dragapult ex Dusknoir</t>
        </is>
      </c>
      <c r="G35" s="48" t="n">
        <v>1</v>
      </c>
      <c r="H35" s="48" t="inlineStr">
        <is>
          <t>L</t>
        </is>
      </c>
      <c r="I35" s="48" t="inlineStr">
        <is>
          <t>Bad Start</t>
        </is>
      </c>
      <c r="J35" s="48" t="inlineStr">
        <is>
          <t>TCGLive</t>
        </is>
      </c>
      <c r="K35" s="48" t="n"/>
      <c r="L35" s="25">
        <f>IF(D35="","",IF(H35="W",1,IF(H35="L",0,"")))</f>
        <v/>
      </c>
      <c r="M35" s="25">
        <f>IF(D35="","",COUNTIFS($D$2:D35,D35))</f>
        <v/>
      </c>
      <c r="N35" s="25">
        <f>IF(D35="","",D35&amp;"|"&amp;M35)</f>
        <v/>
      </c>
      <c r="O35" s="25">
        <f>IF(D35="","",COUNTIFS($D$2:D35,D35,$H$2:H35,"W"))</f>
        <v/>
      </c>
      <c r="P35" s="26">
        <f>IF(D35="","",IFERROR(O35/M35,""))</f>
        <v/>
      </c>
      <c r="Q35" s="25">
        <f>IF(G35="","",IF(G35=1,"1°","2°"))</f>
        <v/>
      </c>
      <c r="R35" s="25">
        <f>IF(B35="","",TEXT(B35,"mmm-yyyy"))</f>
        <v/>
      </c>
    </row>
    <row r="36" ht="15.75" customHeight="1" s="54">
      <c r="A36" s="44" t="n">
        <v>35</v>
      </c>
      <c r="B36" s="42" t="n">
        <v>46240</v>
      </c>
      <c r="C36" s="44" t="inlineStr">
        <is>
          <t>TEF-PBL</t>
        </is>
      </c>
      <c r="D36" s="44" t="inlineStr">
        <is>
          <t>Grimmsnarl ex Froslass</t>
        </is>
      </c>
      <c r="E36" s="44" t="inlineStr">
        <is>
          <t>Grimmsnarl v1</t>
        </is>
      </c>
      <c r="F36" s="44" t="inlineStr">
        <is>
          <t>MegaChandelure ex</t>
        </is>
      </c>
      <c r="G36" s="44" t="n">
        <v>2</v>
      </c>
      <c r="H36" s="44" t="inlineStr">
        <is>
          <t>W</t>
        </is>
      </c>
      <c r="I36" s="44" t="n"/>
      <c r="J36" s="44" t="inlineStr">
        <is>
          <t>TCGLive</t>
        </is>
      </c>
      <c r="K36" s="44" t="inlineStr">
        <is>
          <t>Doppio frosslass e giocato di budew munkidori, anche trappare funziona</t>
        </is>
      </c>
      <c r="L36" s="20">
        <f>IF(D36="","",IF(H36="W",1,IF(H36="L",0,"")))</f>
        <v/>
      </c>
      <c r="M36" s="20">
        <f>IF(D36="","",COUNTIFS($D$2:D36,D36))</f>
        <v/>
      </c>
      <c r="N36" s="20">
        <f>IF(D36="","",D36&amp;"|"&amp;M36)</f>
        <v/>
      </c>
      <c r="O36" s="20">
        <f>IF(D36="","",COUNTIFS($D$2:D36,D36,$H$2:H36,"W"))</f>
        <v/>
      </c>
      <c r="P36" s="22">
        <f>IF(D36="","",IFERROR(O36/M36,""))</f>
        <v/>
      </c>
      <c r="Q36" s="20">
        <f>IF(G36="","",IF(G36=1,"1°","2°"))</f>
        <v/>
      </c>
      <c r="R36" s="20">
        <f>IF(B36="","",TEXT(B36,"mmm-yyyy"))</f>
        <v/>
      </c>
    </row>
    <row r="37" ht="15.75" customHeight="1" s="54">
      <c r="A37" s="48" t="n">
        <v>36</v>
      </c>
      <c r="B37" s="24" t="n">
        <v>46240</v>
      </c>
      <c r="C37" s="48" t="inlineStr">
        <is>
          <t>TEF-PBL</t>
        </is>
      </c>
      <c r="D37" s="48" t="inlineStr">
        <is>
          <t>Grimmsnarl ex Froslass</t>
        </is>
      </c>
      <c r="E37" s="48" t="inlineStr">
        <is>
          <t>Grimmsnarl v1</t>
        </is>
      </c>
      <c r="F37" s="48" t="inlineStr">
        <is>
          <t>Mewtwo ex Spidops</t>
        </is>
      </c>
      <c r="G37" s="48" t="n">
        <v>1</v>
      </c>
      <c r="H37" s="48" t="inlineStr">
        <is>
          <t>W</t>
        </is>
      </c>
      <c r="I37" s="48" t="n"/>
      <c r="J37" s="48" t="inlineStr">
        <is>
          <t>TCGLive</t>
        </is>
      </c>
      <c r="K37" s="48" t="n"/>
      <c r="L37" s="25">
        <f>IF(D37="","",IF(H37="W",1,IF(H37="L",0,"")))</f>
        <v/>
      </c>
      <c r="M37" s="25">
        <f>IF(D37="","",COUNTIFS($D$2:D37,D37))</f>
        <v/>
      </c>
      <c r="N37" s="25">
        <f>IF(D37="","",D37&amp;"|"&amp;M37)</f>
        <v/>
      </c>
      <c r="O37" s="25">
        <f>IF(D37="","",COUNTIFS($D$2:D37,D37,$H$2:H37,"W"))</f>
        <v/>
      </c>
      <c r="P37" s="26">
        <f>IF(D37="","",IFERROR(O37/M37,""))</f>
        <v/>
      </c>
      <c r="Q37" s="25">
        <f>IF(G37="","",IF(G37=1,"1°","2°"))</f>
        <v/>
      </c>
      <c r="R37" s="25">
        <f>IF(B37="","",TEXT(B37,"mmm-yyyy"))</f>
        <v/>
      </c>
    </row>
    <row r="38" ht="15.75" customHeight="1" s="54">
      <c r="A38" s="44" t="n">
        <v>37</v>
      </c>
      <c r="B38" s="42" t="n">
        <v>46245</v>
      </c>
      <c r="C38" s="44" t="inlineStr">
        <is>
          <t>TEF-PBL</t>
        </is>
      </c>
      <c r="D38" s="44" t="inlineStr">
        <is>
          <t>Grimmsnarl ex Froslass</t>
        </is>
      </c>
      <c r="E38" s="44" t="inlineStr">
        <is>
          <t>Grimmsnarl v1</t>
        </is>
      </c>
      <c r="F38" s="44" t="inlineStr">
        <is>
          <t>Dragapult ex</t>
        </is>
      </c>
      <c r="G38" s="44" t="n">
        <v>1</v>
      </c>
      <c r="H38" s="44" t="inlineStr">
        <is>
          <t>W</t>
        </is>
      </c>
      <c r="I38" s="44" t="n"/>
      <c r="J38" s="44" t="inlineStr">
        <is>
          <t>TCGLive</t>
        </is>
      </c>
      <c r="K38" s="44" t="inlineStr">
        <is>
          <t>Attento che ha stamp</t>
        </is>
      </c>
      <c r="L38" s="20">
        <f>IF(D38="","",IF(H38="W",1,IF(H38="L",0,"")))</f>
        <v/>
      </c>
      <c r="M38" s="20">
        <f>IF(D38="","",COUNTIFS($D$2:D38,D38))</f>
        <v/>
      </c>
      <c r="N38" s="20">
        <f>IF(D38="","",D38&amp;"|"&amp;M38)</f>
        <v/>
      </c>
      <c r="O38" s="20">
        <f>IF(D38="","",COUNTIFS($D$2:D38,D38,$H$2:H38,"W"))</f>
        <v/>
      </c>
      <c r="P38" s="22">
        <f>IF(D38="","",IFERROR(O38/M38,""))</f>
        <v/>
      </c>
      <c r="Q38" s="20">
        <f>IF(G38="","",IF(G38=1,"1°","2°"))</f>
        <v/>
      </c>
      <c r="R38" s="20">
        <f>IF(B38="","",TEXT(B38,"mmm-yyyy"))</f>
        <v/>
      </c>
    </row>
    <row r="39" ht="15.75" customHeight="1" s="54">
      <c r="A39" s="48" t="n">
        <v>38</v>
      </c>
      <c r="B39" s="24" t="n">
        <v>46245</v>
      </c>
      <c r="C39" s="48" t="inlineStr">
        <is>
          <t>TEF-PBL</t>
        </is>
      </c>
      <c r="D39" s="48" t="inlineStr">
        <is>
          <t>Grimmsnarl ex Froslass</t>
        </is>
      </c>
      <c r="E39" s="48" t="inlineStr">
        <is>
          <t>Grimmsnarl v1</t>
        </is>
      </c>
      <c r="F39" s="48" t="inlineStr">
        <is>
          <t>MegaExcadrill ex</t>
        </is>
      </c>
      <c r="G39" s="48" t="n">
        <v>1</v>
      </c>
      <c r="H39" s="48" t="inlineStr">
        <is>
          <t>W</t>
        </is>
      </c>
      <c r="I39" s="48" t="inlineStr">
        <is>
          <t>Lucky Win</t>
        </is>
      </c>
      <c r="J39" s="48" t="inlineStr">
        <is>
          <t>TCGLive</t>
        </is>
      </c>
      <c r="K39" s="48" t="inlineStr">
        <is>
          <t>Tieni budew per le play finali quando non può ritirare</t>
        </is>
      </c>
      <c r="L39" s="25">
        <f>IF(D39="","",IF(H39="W",1,IF(H39="L",0,"")))</f>
        <v/>
      </c>
      <c r="M39" s="25">
        <f>IF(D39="","",COUNTIFS($D$2:D39,D39))</f>
        <v/>
      </c>
      <c r="N39" s="25">
        <f>IF(D39="","",D39&amp;"|"&amp;M39)</f>
        <v/>
      </c>
      <c r="O39" s="25">
        <f>IF(D39="","",COUNTIFS($D$2:D39,D39,$H$2:H39,"W"))</f>
        <v/>
      </c>
      <c r="P39" s="26">
        <f>IF(D39="","",IFERROR(O39/M39,""))</f>
        <v/>
      </c>
      <c r="Q39" s="25">
        <f>IF(G39="","",IF(G39=1,"1°","2°"))</f>
        <v/>
      </c>
      <c r="R39" s="25">
        <f>IF(B39="","",TEXT(B39,"mmm-yyyy"))</f>
        <v/>
      </c>
    </row>
    <row r="40" ht="15.75" customHeight="1" s="54">
      <c r="A40" s="44" t="n">
        <v>39</v>
      </c>
      <c r="B40" s="42" t="n">
        <v>46245</v>
      </c>
      <c r="C40" s="44" t="inlineStr">
        <is>
          <t>TEF-PBL</t>
        </is>
      </c>
      <c r="D40" s="44" t="inlineStr">
        <is>
          <t>Grimmsnarl ex Froslass</t>
        </is>
      </c>
      <c r="E40" s="44" t="inlineStr">
        <is>
          <t>Grimmsnarl v1</t>
        </is>
      </c>
      <c r="F40" s="44" t="inlineStr">
        <is>
          <t>MegaStarmie ex Dusknoir</t>
        </is>
      </c>
      <c r="G40" s="44" t="n">
        <v>2</v>
      </c>
      <c r="H40" s="44" t="inlineStr">
        <is>
          <t>W</t>
        </is>
      </c>
      <c r="I40" s="44" t="n"/>
      <c r="J40" s="44" t="inlineStr">
        <is>
          <t>TCGLive</t>
        </is>
      </c>
      <c r="K40" s="44" t="inlineStr">
        <is>
          <t>Molto bene budew all'inizio e yveltal</t>
        </is>
      </c>
      <c r="L40" s="20">
        <f>IF(D40="","",IF(H40="W",1,IF(H40="L",0,"")))</f>
        <v/>
      </c>
      <c r="M40" s="20">
        <f>IF(D40="","",COUNTIFS($D$2:D40,D40))</f>
        <v/>
      </c>
      <c r="N40" s="20">
        <f>IF(D40="","",D40&amp;"|"&amp;M40)</f>
        <v/>
      </c>
      <c r="O40" s="20">
        <f>IF(D40="","",COUNTIFS($D$2:D40,D40,$H$2:H40,"W"))</f>
        <v/>
      </c>
      <c r="P40" s="22">
        <f>IF(D40="","",IFERROR(O40/M40,""))</f>
        <v/>
      </c>
      <c r="Q40" s="20">
        <f>IF(G40="","",IF(G40=1,"1°","2°"))</f>
        <v/>
      </c>
      <c r="R40" s="20">
        <f>IF(B40="","",TEXT(B40,"mmm-yyyy"))</f>
        <v/>
      </c>
    </row>
    <row r="41" ht="15.75" customHeight="1" s="54">
      <c r="A41" s="48" t="n">
        <v>40</v>
      </c>
      <c r="B41" s="24" t="n">
        <v>46245</v>
      </c>
      <c r="C41" s="48" t="inlineStr">
        <is>
          <t>TEF-PBL</t>
        </is>
      </c>
      <c r="D41" s="48" t="inlineStr">
        <is>
          <t>Grimmsnarl ex Froslass</t>
        </is>
      </c>
      <c r="E41" s="48" t="inlineStr">
        <is>
          <t>Grimmsnarl v1</t>
        </is>
      </c>
      <c r="F41" s="48" t="inlineStr">
        <is>
          <t>MegaLucario ex</t>
        </is>
      </c>
      <c r="G41" s="48" t="n">
        <v>2</v>
      </c>
      <c r="H41" s="48" t="inlineStr">
        <is>
          <t>L</t>
        </is>
      </c>
      <c r="I41" s="48" t="n"/>
      <c r="J41" s="48" t="inlineStr">
        <is>
          <t>TCGLive</t>
        </is>
      </c>
      <c r="K41" s="48" t="n"/>
      <c r="L41" s="25">
        <f>IF(D41="","",IF(H41="W",1,IF(H41="L",0,"")))</f>
        <v/>
      </c>
      <c r="M41" s="25">
        <f>IF(D41="","",COUNTIFS($D$2:D41,D41))</f>
        <v/>
      </c>
      <c r="N41" s="25">
        <f>IF(D41="","",D41&amp;"|"&amp;M41)</f>
        <v/>
      </c>
      <c r="O41" s="25">
        <f>IF(D41="","",COUNTIFS($D$2:D41,D41,$H$2:H41,"W"))</f>
        <v/>
      </c>
      <c r="P41" s="26">
        <f>IF(D41="","",IFERROR(O41/M41,""))</f>
        <v/>
      </c>
      <c r="Q41" s="25">
        <f>IF(G41="","",IF(G41=1,"1°","2°"))</f>
        <v/>
      </c>
      <c r="R41" s="25">
        <f>IF(B41="","",TEXT(B41,"mmm-yyyy"))</f>
        <v/>
      </c>
    </row>
    <row r="42" ht="15.75" customHeight="1" s="54">
      <c r="A42" s="44" t="n">
        <v>41</v>
      </c>
      <c r="B42" s="42" t="n">
        <v>46245</v>
      </c>
      <c r="C42" s="44" t="inlineStr">
        <is>
          <t>TEF-PBL</t>
        </is>
      </c>
      <c r="D42" s="44" t="inlineStr">
        <is>
          <t>Grimmsnarl ex Froslass</t>
        </is>
      </c>
      <c r="E42" s="44" t="inlineStr">
        <is>
          <t>Grimmsnarl v1</t>
        </is>
      </c>
      <c r="F42" s="44" t="inlineStr">
        <is>
          <t>Hydrapple ex Ogerpon ex</t>
        </is>
      </c>
      <c r="G42" s="44" t="n">
        <v>1</v>
      </c>
      <c r="H42" s="44" t="inlineStr">
        <is>
          <t>W</t>
        </is>
      </c>
      <c r="I42" s="44" t="n"/>
      <c r="J42" s="44" t="inlineStr">
        <is>
          <t>TCGLive</t>
        </is>
      </c>
      <c r="K42" s="44" t="n"/>
      <c r="L42" s="20">
        <f>IF(D42="","",IF(H42="W",1,IF(H42="L",0,"")))</f>
        <v/>
      </c>
      <c r="M42" s="20">
        <f>IF(D42="","",COUNTIFS($D$2:D42,D42))</f>
        <v/>
      </c>
      <c r="N42" s="20">
        <f>IF(D42="","",D42&amp;"|"&amp;M42)</f>
        <v/>
      </c>
      <c r="O42" s="20">
        <f>IF(D42="","",COUNTIFS($D$2:D42,D42,$H$2:H42,"W"))</f>
        <v/>
      </c>
      <c r="P42" s="22">
        <f>IF(D42="","",IFERROR(O42/M42,""))</f>
        <v/>
      </c>
      <c r="Q42" s="20">
        <f>IF(G42="","",IF(G42=1,"1°","2°"))</f>
        <v/>
      </c>
      <c r="R42" s="20">
        <f>IF(B42="","",TEXT(B42,"mmm-yyyy"))</f>
        <v/>
      </c>
    </row>
    <row r="43" ht="15.75" customHeight="1" s="54">
      <c r="A43" s="48" t="n">
        <v>42</v>
      </c>
      <c r="B43" s="24" t="n">
        <v>46245</v>
      </c>
      <c r="C43" s="48" t="inlineStr">
        <is>
          <t>TEF-PBL</t>
        </is>
      </c>
      <c r="D43" s="48" t="inlineStr">
        <is>
          <t>Grimmsnarl ex Froslass</t>
        </is>
      </c>
      <c r="E43" s="48" t="inlineStr">
        <is>
          <t>Grimmsnarl v1</t>
        </is>
      </c>
      <c r="F43" s="48" t="inlineStr">
        <is>
          <t>Dragapult ex</t>
        </is>
      </c>
      <c r="G43" s="48" t="n">
        <v>1</v>
      </c>
      <c r="H43" s="48" t="inlineStr">
        <is>
          <t>L</t>
        </is>
      </c>
      <c r="I43" s="48" t="inlineStr">
        <is>
          <t>Bad Start</t>
        </is>
      </c>
      <c r="J43" s="48" t="inlineStr">
        <is>
          <t>TCGLive</t>
        </is>
      </c>
      <c r="K43" s="48" t="n"/>
      <c r="L43" s="25">
        <f>IF(D43="","",IF(H43="W",1,IF(H43="L",0,"")))</f>
        <v/>
      </c>
      <c r="M43" s="25">
        <f>IF(D43="","",COUNTIFS($D$2:D43,D43))</f>
        <v/>
      </c>
      <c r="N43" s="25">
        <f>IF(D43="","",D43&amp;"|"&amp;M43)</f>
        <v/>
      </c>
      <c r="O43" s="25">
        <f>IF(D43="","",COUNTIFS($D$2:D43,D43,$H$2:H43,"W"))</f>
        <v/>
      </c>
      <c r="P43" s="26">
        <f>IF(D43="","",IFERROR(O43/M43,""))</f>
        <v/>
      </c>
      <c r="Q43" s="25">
        <f>IF(G43="","",IF(G43=1,"1°","2°"))</f>
        <v/>
      </c>
      <c r="R43" s="25">
        <f>IF(B43="","",TEXT(B43,"mmm-yyyy"))</f>
        <v/>
      </c>
    </row>
    <row r="44" ht="15.75" customHeight="1" s="54">
      <c r="A44" s="44" t="n">
        <v>43</v>
      </c>
      <c r="B44" s="42" t="n">
        <v>46246</v>
      </c>
      <c r="C44" s="44" t="inlineStr">
        <is>
          <t>TEF-PBL</t>
        </is>
      </c>
      <c r="D44" s="44" t="inlineStr">
        <is>
          <t>Area Della Festa</t>
        </is>
      </c>
      <c r="E44" s="44" t="inlineStr">
        <is>
          <t>Mele v1</t>
        </is>
      </c>
      <c r="F44" s="44" t="inlineStr">
        <is>
          <t>Dragapult ex</t>
        </is>
      </c>
      <c r="G44" s="44" t="n">
        <v>1</v>
      </c>
      <c r="H44" s="44" t="inlineStr">
        <is>
          <t>L</t>
        </is>
      </c>
      <c r="I44" s="44" t="n"/>
      <c r="J44" s="44" t="inlineStr">
        <is>
          <t>TCGLive</t>
        </is>
      </c>
      <c r="K44" s="44" t="n"/>
      <c r="L44" s="20">
        <f>IF(D44="","",IF(H44="W",1,IF(H44="L",0,"")))</f>
        <v/>
      </c>
      <c r="M44" s="20">
        <f>IF(D44="","",COUNTIFS($D$2:D44,D44))</f>
        <v/>
      </c>
      <c r="N44" s="20">
        <f>IF(D44="","",D44&amp;"|"&amp;M44)</f>
        <v/>
      </c>
      <c r="O44" s="20">
        <f>IF(D44="","",COUNTIFS($D$2:D44,D44,$H$2:H44,"W"))</f>
        <v/>
      </c>
      <c r="P44" s="22">
        <f>IF(D44="","",IFERROR(O44/M44,""))</f>
        <v/>
      </c>
      <c r="Q44" s="20">
        <f>IF(G44="","",IF(G44=1,"1°","2°"))</f>
        <v/>
      </c>
      <c r="R44" s="20">
        <f>IF(B44="","",TEXT(B44,"mmm-yyyy"))</f>
        <v/>
      </c>
    </row>
    <row r="45" ht="15.75" customHeight="1" s="54">
      <c r="A45" s="48" t="n">
        <v>44</v>
      </c>
      <c r="B45" s="24" t="n">
        <v>46246</v>
      </c>
      <c r="C45" s="48" t="inlineStr">
        <is>
          <t>TEF-PBL</t>
        </is>
      </c>
      <c r="D45" s="48" t="inlineStr">
        <is>
          <t>Area Della Festa</t>
        </is>
      </c>
      <c r="E45" s="48" t="inlineStr">
        <is>
          <t>Mele v1</t>
        </is>
      </c>
      <c r="F45" s="48" t="inlineStr">
        <is>
          <t>Dragapult ex</t>
        </is>
      </c>
      <c r="G45" s="48" t="n">
        <v>1</v>
      </c>
      <c r="H45" s="48" t="inlineStr">
        <is>
          <t>L</t>
        </is>
      </c>
      <c r="I45" s="48" t="inlineStr">
        <is>
          <t>Bad Start</t>
        </is>
      </c>
      <c r="J45" s="48" t="inlineStr">
        <is>
          <t>TCGLive</t>
        </is>
      </c>
      <c r="K45" s="48" t="n"/>
      <c r="L45" s="25">
        <f>IF(D45="","",IF(H45="W",1,IF(H45="L",0,"")))</f>
        <v/>
      </c>
      <c r="M45" s="25">
        <f>IF(D45="","",COUNTIFS($D$2:D45,D45))</f>
        <v/>
      </c>
      <c r="N45" s="25">
        <f>IF(D45="","",D45&amp;"|"&amp;M45)</f>
        <v/>
      </c>
      <c r="O45" s="25">
        <f>IF(D45="","",COUNTIFS($D$2:D45,D45,$H$2:H45,"W"))</f>
        <v/>
      </c>
      <c r="P45" s="26">
        <f>IF(D45="","",IFERROR(O45/M45,""))</f>
        <v/>
      </c>
      <c r="Q45" s="25">
        <f>IF(G45="","",IF(G45=1,"1°","2°"))</f>
        <v/>
      </c>
      <c r="R45" s="25">
        <f>IF(B45="","",TEXT(B45,"mmm-yyyy"))</f>
        <v/>
      </c>
    </row>
    <row r="46" ht="15.75" customHeight="1" s="54">
      <c r="A46" s="44" t="n">
        <v>45</v>
      </c>
      <c r="B46" s="42" t="n">
        <v>46246</v>
      </c>
      <c r="C46" s="44" t="inlineStr">
        <is>
          <t>TEF-PBL</t>
        </is>
      </c>
      <c r="D46" s="44" t="inlineStr">
        <is>
          <t>Area Della Festa</t>
        </is>
      </c>
      <c r="E46" s="44" t="inlineStr">
        <is>
          <t>Mele v1</t>
        </is>
      </c>
      <c r="F46" s="44" t="inlineStr">
        <is>
          <t>Dragapult ex</t>
        </is>
      </c>
      <c r="G46" s="44" t="n">
        <v>1</v>
      </c>
      <c r="H46" s="44" t="inlineStr">
        <is>
          <t>L</t>
        </is>
      </c>
      <c r="I46" s="44" t="inlineStr">
        <is>
          <t>Bad Start</t>
        </is>
      </c>
      <c r="J46" s="44" t="inlineStr">
        <is>
          <t>TCGLive</t>
        </is>
      </c>
      <c r="K46" s="44" t="n"/>
      <c r="L46" s="20">
        <f>IF(D46="","",IF(H46="W",1,IF(H46="L",0,"")))</f>
        <v/>
      </c>
      <c r="M46" s="20">
        <f>IF(D46="","",COUNTIFS($D$2:D46,D46))</f>
        <v/>
      </c>
      <c r="N46" s="20">
        <f>IF(D46="","",D46&amp;"|"&amp;M46)</f>
        <v/>
      </c>
      <c r="O46" s="20">
        <f>IF(D46="","",COUNTIFS($D$2:D46,D46,$H$2:H46,"W"))</f>
        <v/>
      </c>
      <c r="P46" s="22">
        <f>IF(D46="","",IFERROR(O46/M46,""))</f>
        <v/>
      </c>
      <c r="Q46" s="20">
        <f>IF(G46="","",IF(G46=1,"1°","2°"))</f>
        <v/>
      </c>
      <c r="R46" s="20">
        <f>IF(B46="","",TEXT(B46,"mmm-yyyy"))</f>
        <v/>
      </c>
    </row>
    <row r="47" ht="15.75" customHeight="1" s="54">
      <c r="A47" s="48" t="n">
        <v>46</v>
      </c>
      <c r="B47" s="24" t="n">
        <v>46251</v>
      </c>
      <c r="C47" s="48" t="inlineStr">
        <is>
          <t>TEF-PBL</t>
        </is>
      </c>
      <c r="D47" s="48" t="inlineStr">
        <is>
          <t>Dragapult ex</t>
        </is>
      </c>
      <c r="E47" s="48" t="inlineStr">
        <is>
          <t>Dragapult v1</t>
        </is>
      </c>
      <c r="F47" s="48" t="inlineStr">
        <is>
          <t>Zoroark ex</t>
        </is>
      </c>
      <c r="G47" s="48" t="n">
        <v>1</v>
      </c>
      <c r="H47" s="48" t="inlineStr">
        <is>
          <t>L</t>
        </is>
      </c>
      <c r="I47" s="48" t="n"/>
      <c r="J47" s="48" t="inlineStr">
        <is>
          <t>TCGLive</t>
        </is>
      </c>
      <c r="K47" s="48" t="n"/>
      <c r="L47" s="25">
        <f>IF(D47="","",IF(H47="W",1,IF(H47="L",0,"")))</f>
        <v/>
      </c>
      <c r="M47" s="25">
        <f>IF(D47="","",COUNTIFS($D$2:D47,D47))</f>
        <v/>
      </c>
      <c r="N47" s="25">
        <f>IF(D47="","",D47&amp;"|"&amp;M47)</f>
        <v/>
      </c>
      <c r="O47" s="25">
        <f>IF(D47="","",COUNTIFS($D$2:D47,D47,$H$2:H47,"W"))</f>
        <v/>
      </c>
      <c r="P47" s="26">
        <f>IF(D47="","",IFERROR(O47/M47,""))</f>
        <v/>
      </c>
      <c r="Q47" s="25">
        <f>IF(G47="","",IF(G47=1,"1°","2°"))</f>
        <v/>
      </c>
      <c r="R47" s="25">
        <f>IF(B47="","",TEXT(B47,"mmm-yyyy"))</f>
        <v/>
      </c>
    </row>
    <row r="48" ht="15.75" customHeight="1" s="54">
      <c r="A48" s="44" t="n">
        <v>47</v>
      </c>
      <c r="B48" s="42" t="n">
        <v>46251</v>
      </c>
      <c r="C48" s="44" t="inlineStr">
        <is>
          <t>TEF-PBL</t>
        </is>
      </c>
      <c r="D48" s="44" t="inlineStr">
        <is>
          <t>Dragapult ex</t>
        </is>
      </c>
      <c r="E48" s="44" t="inlineStr">
        <is>
          <t>Dragapult v1</t>
        </is>
      </c>
      <c r="F48" s="44" t="inlineStr">
        <is>
          <t>Alakazam Dudunsparce</t>
        </is>
      </c>
      <c r="G48" s="44" t="n">
        <v>1</v>
      </c>
      <c r="H48" s="44" t="inlineStr">
        <is>
          <t>L</t>
        </is>
      </c>
      <c r="I48" s="44" t="inlineStr">
        <is>
          <t>Bad Start</t>
        </is>
      </c>
      <c r="J48" s="44" t="inlineStr">
        <is>
          <t>TCGLive</t>
        </is>
      </c>
      <c r="K48" s="44" t="n"/>
      <c r="L48" s="20">
        <f>IF(D48="","",IF(H48="W",1,IF(H48="L",0,"")))</f>
        <v/>
      </c>
      <c r="M48" s="20">
        <f>IF(D48="","",COUNTIFS($D$2:D48,D48))</f>
        <v/>
      </c>
      <c r="N48" s="20">
        <f>IF(D48="","",D48&amp;"|"&amp;M48)</f>
        <v/>
      </c>
      <c r="O48" s="20">
        <f>IF(D48="","",COUNTIFS($D$2:D48,D48,$H$2:H48,"W"))</f>
        <v/>
      </c>
      <c r="P48" s="22">
        <f>IF(D48="","",IFERROR(O48/M48,""))</f>
        <v/>
      </c>
      <c r="Q48" s="20">
        <f>IF(G48="","",IF(G48=1,"1°","2°"))</f>
        <v/>
      </c>
      <c r="R48" s="20">
        <f>IF(B48="","",TEXT(B48,"mmm-yyyy"))</f>
        <v/>
      </c>
    </row>
    <row r="49" ht="15.75" customHeight="1" s="54">
      <c r="A49" s="48" t="n">
        <v>48</v>
      </c>
      <c r="B49" s="24" t="n">
        <v>46251</v>
      </c>
      <c r="C49" s="48" t="inlineStr">
        <is>
          <t>TEF-PBL</t>
        </is>
      </c>
      <c r="D49" s="48" t="inlineStr">
        <is>
          <t>Dragapult ex</t>
        </is>
      </c>
      <c r="E49" s="48" t="inlineStr">
        <is>
          <t>Dragapult v1</t>
        </is>
      </c>
      <c r="F49" s="48" t="inlineStr">
        <is>
          <t>Dragapult ex Blaziken ex</t>
        </is>
      </c>
      <c r="G49" s="48" t="n">
        <v>1</v>
      </c>
      <c r="H49" s="48" t="inlineStr">
        <is>
          <t>W</t>
        </is>
      </c>
      <c r="I49" s="48" t="n"/>
      <c r="J49" s="48" t="inlineStr">
        <is>
          <t>TCGLive</t>
        </is>
      </c>
      <c r="K49" s="48" t="n"/>
      <c r="L49" s="25">
        <f>IF(D49="","",IF(H49="W",1,IF(H49="L",0,"")))</f>
        <v/>
      </c>
      <c r="M49" s="25">
        <f>IF(D49="","",COUNTIFS($D$2:D49,D49))</f>
        <v/>
      </c>
      <c r="N49" s="25">
        <f>IF(D49="","",D49&amp;"|"&amp;M49)</f>
        <v/>
      </c>
      <c r="O49" s="25">
        <f>IF(D49="","",COUNTIFS($D$2:D49,D49,$H$2:H49,"W"))</f>
        <v/>
      </c>
      <c r="P49" s="26">
        <f>IF(D49="","",IFERROR(O49/M49,""))</f>
        <v/>
      </c>
      <c r="Q49" s="25">
        <f>IF(G49="","",IF(G49=1,"1°","2°"))</f>
        <v/>
      </c>
      <c r="R49" s="25">
        <f>IF(B49="","",TEXT(B49,"mmm-yyyy"))</f>
        <v/>
      </c>
    </row>
    <row r="50" ht="15.75" customHeight="1" s="54">
      <c r="A50" s="44" t="n">
        <v>49</v>
      </c>
      <c r="B50" s="42" t="n">
        <v>46251</v>
      </c>
      <c r="C50" s="44" t="inlineStr">
        <is>
          <t>TEF-PBL</t>
        </is>
      </c>
      <c r="D50" s="44" t="inlineStr">
        <is>
          <t>Dragapult ex</t>
        </is>
      </c>
      <c r="E50" s="44" t="inlineStr">
        <is>
          <t>Dragapult v1</t>
        </is>
      </c>
      <c r="F50" s="44" t="inlineStr">
        <is>
          <t>Honchkrow Porygon2</t>
        </is>
      </c>
      <c r="G50" s="44" t="n">
        <v>1</v>
      </c>
      <c r="H50" s="44" t="inlineStr">
        <is>
          <t>W</t>
        </is>
      </c>
      <c r="I50" s="44" t="inlineStr">
        <is>
          <t>Bad Start</t>
        </is>
      </c>
      <c r="J50" s="44" t="inlineStr">
        <is>
          <t>TCGLive</t>
        </is>
      </c>
      <c r="K50" s="44" t="n"/>
      <c r="L50" s="20">
        <f>IF(D50="","",IF(H50="W",1,IF(H50="L",0,"")))</f>
        <v/>
      </c>
      <c r="M50" s="20">
        <f>IF(D50="","",COUNTIFS($D$2:D50,D50))</f>
        <v/>
      </c>
      <c r="N50" s="20">
        <f>IF(D50="","",D50&amp;"|"&amp;M50)</f>
        <v/>
      </c>
      <c r="O50" s="20">
        <f>IF(D50="","",COUNTIFS($D$2:D50,D50,$H$2:H50,"W"))</f>
        <v/>
      </c>
      <c r="P50" s="22">
        <f>IF(D50="","",IFERROR(O50/M50,""))</f>
        <v/>
      </c>
      <c r="Q50" s="20">
        <f>IF(G50="","",IF(G50=1,"1°","2°"))</f>
        <v/>
      </c>
      <c r="R50" s="20">
        <f>IF(B50="","",TEXT(B50,"mmm-yyyy"))</f>
        <v/>
      </c>
    </row>
    <row r="51" ht="15.75" customHeight="1" s="54">
      <c r="A51" s="48" t="n">
        <v>50</v>
      </c>
      <c r="B51" s="24" t="n">
        <v>46252</v>
      </c>
      <c r="C51" s="48" t="inlineStr">
        <is>
          <t>TEF-PBL</t>
        </is>
      </c>
      <c r="D51" s="48" t="inlineStr">
        <is>
          <t>Dragapult ex</t>
        </is>
      </c>
      <c r="E51" s="48" t="inlineStr">
        <is>
          <t>Dragapult v1</t>
        </is>
      </c>
      <c r="F51" s="48" t="inlineStr">
        <is>
          <t>MegaDarkrai ex</t>
        </is>
      </c>
      <c r="G51" s="48" t="n">
        <v>2</v>
      </c>
      <c r="H51" s="48" t="inlineStr">
        <is>
          <t>W</t>
        </is>
      </c>
      <c r="I51" s="48" t="inlineStr">
        <is>
          <t>Bad Start</t>
        </is>
      </c>
      <c r="J51" s="48" t="inlineStr">
        <is>
          <t>TCGLive</t>
        </is>
      </c>
      <c r="K51" s="48" t="n"/>
      <c r="L51" s="25">
        <f>IF(D51="","",IF(H51="W",1,IF(H51="L",0,"")))</f>
        <v/>
      </c>
      <c r="M51" s="25">
        <f>IF(D51="","",COUNTIFS($D$2:D51,D51))</f>
        <v/>
      </c>
      <c r="N51" s="25">
        <f>IF(D51="","",D51&amp;"|"&amp;M51)</f>
        <v/>
      </c>
      <c r="O51" s="25">
        <f>IF(D51="","",COUNTIFS($D$2:D51,D51,$H$2:H51,"W"))</f>
        <v/>
      </c>
      <c r="P51" s="26">
        <f>IF(D51="","",IFERROR(O51/M51,""))</f>
        <v/>
      </c>
      <c r="Q51" s="25">
        <f>IF(G51="","",IF(G51=1,"1°","2°"))</f>
        <v/>
      </c>
      <c r="R51" s="25">
        <f>IF(B51="","",TEXT(B51,"mmm-yyyy"))</f>
        <v/>
      </c>
    </row>
    <row r="52" ht="15.75" customHeight="1" s="54">
      <c r="A52" s="44" t="n">
        <v>51</v>
      </c>
      <c r="B52" s="42" t="n">
        <v>46252</v>
      </c>
      <c r="C52" s="44" t="inlineStr">
        <is>
          <t>TEF-PBL</t>
        </is>
      </c>
      <c r="D52" s="44" t="inlineStr">
        <is>
          <t>Dragapult ex</t>
        </is>
      </c>
      <c r="E52" s="44" t="inlineStr">
        <is>
          <t>Dragapult v1</t>
        </is>
      </c>
      <c r="F52" s="44" t="inlineStr">
        <is>
          <t>Dragapult ex</t>
        </is>
      </c>
      <c r="G52" s="44" t="n">
        <v>1</v>
      </c>
      <c r="H52" s="44" t="inlineStr">
        <is>
          <t>W</t>
        </is>
      </c>
      <c r="I52" s="44" t="inlineStr">
        <is>
          <t>Good Opening</t>
        </is>
      </c>
      <c r="J52" s="44" t="inlineStr">
        <is>
          <t>TCGLive</t>
        </is>
      </c>
      <c r="K52" s="44" t="n"/>
      <c r="L52" s="20">
        <f>IF(D52="","",IF(H52="W",1,IF(H52="L",0,"")))</f>
        <v/>
      </c>
      <c r="M52" s="20">
        <f>IF(D52="","",COUNTIFS($D$2:D52,D52))</f>
        <v/>
      </c>
      <c r="N52" s="20">
        <f>IF(D52="","",D52&amp;"|"&amp;M52)</f>
        <v/>
      </c>
      <c r="O52" s="20">
        <f>IF(D52="","",COUNTIFS($D$2:D52,D52,$H$2:H52,"W"))</f>
        <v/>
      </c>
      <c r="P52" s="22">
        <f>IF(D52="","",IFERROR(O52/M52,""))</f>
        <v/>
      </c>
      <c r="Q52" s="20">
        <f>IF(G52="","",IF(G52=1,"1°","2°"))</f>
        <v/>
      </c>
      <c r="R52" s="20">
        <f>IF(B52="","",TEXT(B52,"mmm-yyyy"))</f>
        <v/>
      </c>
    </row>
    <row r="53" ht="15.75" customHeight="1" s="54">
      <c r="A53" s="48" t="n">
        <v>52</v>
      </c>
      <c r="B53" s="24" t="n">
        <v>46252</v>
      </c>
      <c r="C53" s="48" t="inlineStr">
        <is>
          <t>TEF-PBL</t>
        </is>
      </c>
      <c r="D53" s="48" t="inlineStr">
        <is>
          <t>Dragapult ex</t>
        </is>
      </c>
      <c r="E53" s="48" t="inlineStr">
        <is>
          <t>Dragapult v1</t>
        </is>
      </c>
      <c r="F53" s="48" t="inlineStr">
        <is>
          <t>Grimmsnarl ex Froslass</t>
        </is>
      </c>
      <c r="G53" s="48" t="n">
        <v>1</v>
      </c>
      <c r="H53" s="48" t="inlineStr">
        <is>
          <t>W</t>
        </is>
      </c>
      <c r="I53" s="48" t="inlineStr">
        <is>
          <t>Good Opening</t>
        </is>
      </c>
      <c r="J53" s="48" t="inlineStr">
        <is>
          <t>TCGLive</t>
        </is>
      </c>
      <c r="K53" s="48" t="inlineStr">
        <is>
          <t>Martello sui munkidori, altrimenti punisci se fa doppio grimm</t>
        </is>
      </c>
      <c r="L53" s="25">
        <f>IF(D53="","",IF(H53="W",1,IF(H53="L",0,"")))</f>
        <v/>
      </c>
      <c r="M53" s="25">
        <f>IF(D53="","",COUNTIFS($D$2:D53,D53))</f>
        <v/>
      </c>
      <c r="N53" s="25">
        <f>IF(D53="","",D53&amp;"|"&amp;M53)</f>
        <v/>
      </c>
      <c r="O53" s="25">
        <f>IF(D53="","",COUNTIFS($D$2:D53,D53,$H$2:H53,"W"))</f>
        <v/>
      </c>
      <c r="P53" s="26">
        <f>IF(D53="","",IFERROR(O53/M53,""))</f>
        <v/>
      </c>
      <c r="Q53" s="25">
        <f>IF(G53="","",IF(G53=1,"1°","2°"))</f>
        <v/>
      </c>
      <c r="R53" s="25">
        <f>IF(B53="","",TEXT(B53,"mmm-yyyy"))</f>
        <v/>
      </c>
    </row>
    <row r="54" ht="15.75" customHeight="1" s="54">
      <c r="A54" s="44" t="n">
        <v>53</v>
      </c>
      <c r="B54" s="42" t="n">
        <v>46252</v>
      </c>
      <c r="C54" s="44" t="inlineStr">
        <is>
          <t>TEF-PBL</t>
        </is>
      </c>
      <c r="D54" s="44" t="inlineStr">
        <is>
          <t>Dragapult ex</t>
        </is>
      </c>
      <c r="E54" s="44" t="inlineStr">
        <is>
          <t>Dragapult v1</t>
        </is>
      </c>
      <c r="F54" s="44" t="inlineStr">
        <is>
          <t>Dragapult ex</t>
        </is>
      </c>
      <c r="G54" s="44" t="n">
        <v>1</v>
      </c>
      <c r="H54" s="44" t="inlineStr">
        <is>
          <t>W</t>
        </is>
      </c>
      <c r="I54" s="44" t="n"/>
      <c r="J54" s="44" t="inlineStr">
        <is>
          <t>TCGLive</t>
        </is>
      </c>
      <c r="K54" s="44" t="inlineStr">
        <is>
          <t>Non è male privarlo degli altri loak se riesci a fare doppio ko</t>
        </is>
      </c>
      <c r="L54" s="20">
        <f>IF(D54="","",IF(H54="W",1,IF(H54="L",0,"")))</f>
        <v/>
      </c>
      <c r="M54" s="20">
        <f>IF(D54="","",COUNTIFS($D$2:D54,D54))</f>
        <v/>
      </c>
      <c r="N54" s="20">
        <f>IF(D54="","",D54&amp;"|"&amp;M54)</f>
        <v/>
      </c>
      <c r="O54" s="20">
        <f>IF(D54="","",COUNTIFS($D$2:D54,D54,$H$2:H54,"W"))</f>
        <v/>
      </c>
      <c r="P54" s="22">
        <f>IF(D54="","",IFERROR(O54/M54,""))</f>
        <v/>
      </c>
      <c r="Q54" s="20">
        <f>IF(G54="","",IF(G54=1,"1°","2°"))</f>
        <v/>
      </c>
      <c r="R54" s="20">
        <f>IF(B54="","",TEXT(B54,"mmm-yyyy"))</f>
        <v/>
      </c>
    </row>
    <row r="55" ht="15.75" customHeight="1" s="54">
      <c r="A55" s="48" t="n">
        <v>54</v>
      </c>
      <c r="B55" s="24" t="n">
        <v>46252</v>
      </c>
      <c r="C55" s="48" t="inlineStr">
        <is>
          <t>TEF-PBL</t>
        </is>
      </c>
      <c r="D55" s="48" t="inlineStr">
        <is>
          <t>Dragapult ex</t>
        </is>
      </c>
      <c r="E55" s="48" t="inlineStr">
        <is>
          <t>Dragapult v1</t>
        </is>
      </c>
      <c r="F55" s="48" t="inlineStr">
        <is>
          <t>Archaludon ex</t>
        </is>
      </c>
      <c r="G55" s="48" t="n">
        <v>1</v>
      </c>
      <c r="H55" s="48" t="inlineStr">
        <is>
          <t>L</t>
        </is>
      </c>
      <c r="I55" s="48" t="inlineStr">
        <is>
          <t>Bad Start</t>
        </is>
      </c>
      <c r="J55" s="48" t="inlineStr">
        <is>
          <t>TCGLive</t>
        </is>
      </c>
      <c r="K55" s="48" t="n"/>
      <c r="L55" s="25">
        <f>IF(D55="","",IF(H55="W",1,IF(H55="L",0,"")))</f>
        <v/>
      </c>
      <c r="M55" s="25">
        <f>IF(D55="","",COUNTIFS($D$2:D55,D55))</f>
        <v/>
      </c>
      <c r="N55" s="25">
        <f>IF(D55="","",D55&amp;"|"&amp;M55)</f>
        <v/>
      </c>
      <c r="O55" s="25">
        <f>IF(D55="","",COUNTIFS($D$2:D55,D55,$H$2:H55,"W"))</f>
        <v/>
      </c>
      <c r="P55" s="26">
        <f>IF(D55="","",IFERROR(O55/M55,""))</f>
        <v/>
      </c>
      <c r="Q55" s="25">
        <f>IF(G55="","",IF(G55=1,"1°","2°"))</f>
        <v/>
      </c>
      <c r="R55" s="25">
        <f>IF(B55="","",TEXT(B55,"mmm-yyyy"))</f>
        <v/>
      </c>
    </row>
    <row r="56" ht="15.75" customHeight="1" s="54">
      <c r="A56" s="44" t="n">
        <v>55</v>
      </c>
      <c r="B56" s="42" t="n">
        <v>46254</v>
      </c>
      <c r="C56" s="44" t="inlineStr">
        <is>
          <t>TEF-PBL</t>
        </is>
      </c>
      <c r="D56" s="44" t="inlineStr">
        <is>
          <t>Ragingbolt ex Ogerpon ex</t>
        </is>
      </c>
      <c r="E56" s="44" t="inlineStr">
        <is>
          <t>Bolt v1</t>
        </is>
      </c>
      <c r="F56" s="44" t="inlineStr">
        <is>
          <t>Grimmsnarl ex Froslass</t>
        </is>
      </c>
      <c r="G56" s="44" t="n">
        <v>1</v>
      </c>
      <c r="H56" s="44" t="inlineStr">
        <is>
          <t>W</t>
        </is>
      </c>
      <c r="I56" s="44" t="inlineStr">
        <is>
          <t>Bad Start</t>
        </is>
      </c>
      <c r="J56" s="44" t="inlineStr">
        <is>
          <t>TCGLive</t>
        </is>
      </c>
      <c r="K56" s="44" t="inlineStr">
        <is>
          <t>Ricordati di ritirare manualmente per kanga per pescare, attento a yveltal</t>
        </is>
      </c>
      <c r="L56" s="20">
        <f>IF(D56="","",IF(H56="W",1,IF(H56="L",0,"")))</f>
        <v/>
      </c>
      <c r="M56" s="20">
        <f>IF(D56="","",COUNTIFS($D$2:D56,D56))</f>
        <v/>
      </c>
      <c r="N56" s="20">
        <f>IF(D56="","",D56&amp;"|"&amp;M56)</f>
        <v/>
      </c>
      <c r="O56" s="20">
        <f>IF(D56="","",COUNTIFS($D$2:D56,D56,$H$2:H56,"W"))</f>
        <v/>
      </c>
      <c r="P56" s="22">
        <f>IF(D56="","",IFERROR(O56/M56,""))</f>
        <v/>
      </c>
      <c r="Q56" s="20">
        <f>IF(G56="","",IF(G56=1,"1°","2°"))</f>
        <v/>
      </c>
      <c r="R56" s="20">
        <f>IF(B56="","",TEXT(B56,"mmm-yyyy"))</f>
        <v/>
      </c>
    </row>
    <row r="57" ht="15.75" customHeight="1" s="54">
      <c r="A57" s="48" t="n">
        <v>56</v>
      </c>
      <c r="B57" s="24" t="n">
        <v>46254</v>
      </c>
      <c r="C57" s="48" t="inlineStr">
        <is>
          <t>TEF-PBL</t>
        </is>
      </c>
      <c r="D57" s="48" t="inlineStr">
        <is>
          <t>Ragingbolt ex Ogerpon ex</t>
        </is>
      </c>
      <c r="E57" s="48" t="inlineStr">
        <is>
          <t>Bolt v1</t>
        </is>
      </c>
      <c r="F57" s="48" t="inlineStr">
        <is>
          <t>MegaExcadrill ex</t>
        </is>
      </c>
      <c r="G57" s="48" t="n">
        <v>1</v>
      </c>
      <c r="H57" s="48" t="inlineStr">
        <is>
          <t>L</t>
        </is>
      </c>
      <c r="I57" s="48" t="n"/>
      <c r="J57" s="48" t="inlineStr">
        <is>
          <t>Friendly</t>
        </is>
      </c>
      <c r="K57" s="48" t="n"/>
      <c r="L57" s="25">
        <f>IF(D57="","",IF(H57="W",1,IF(H57="L",0,"")))</f>
        <v/>
      </c>
      <c r="M57" s="25">
        <f>IF(D57="","",COUNTIFS($D$2:D57,D57))</f>
        <v/>
      </c>
      <c r="N57" s="25">
        <f>IF(D57="","",D57&amp;"|"&amp;M57)</f>
        <v/>
      </c>
      <c r="O57" s="25">
        <f>IF(D57="","",COUNTIFS($D$2:D57,D57,$H$2:H57,"W"))</f>
        <v/>
      </c>
      <c r="P57" s="26">
        <f>IF(D57="","",IFERROR(O57/M57,""))</f>
        <v/>
      </c>
      <c r="Q57" s="25">
        <f>IF(G57="","",IF(G57=1,"1°","2°"))</f>
        <v/>
      </c>
      <c r="R57" s="25">
        <f>IF(B57="","",TEXT(B57,"mmm-yyyy"))</f>
        <v/>
      </c>
    </row>
    <row r="58" ht="15.75" customHeight="1" s="54">
      <c r="A58" s="44" t="n">
        <v>57</v>
      </c>
      <c r="B58" s="42" t="n">
        <v>46254</v>
      </c>
      <c r="C58" s="44" t="inlineStr">
        <is>
          <t>TEF-PBL</t>
        </is>
      </c>
      <c r="D58" s="44" t="inlineStr">
        <is>
          <t>Ragingbolt ex Ogerpon ex</t>
        </is>
      </c>
      <c r="E58" s="44" t="inlineStr">
        <is>
          <t>Bolt v1</t>
        </is>
      </c>
      <c r="F58" s="44" t="inlineStr">
        <is>
          <t>MegaExcadrill ex</t>
        </is>
      </c>
      <c r="G58" s="44" t="n">
        <v>2</v>
      </c>
      <c r="H58" s="44" t="inlineStr">
        <is>
          <t>L</t>
        </is>
      </c>
      <c r="I58" s="44" t="n"/>
      <c r="J58" s="44" t="inlineStr">
        <is>
          <t>Friendly</t>
        </is>
      </c>
      <c r="K58" s="44" t="n"/>
      <c r="L58" s="20">
        <f>IF(D58="","",IF(H58="W",1,IF(H58="L",0,"")))</f>
        <v/>
      </c>
      <c r="M58" s="20">
        <f>IF(D58="","",COUNTIFS($D$2:D58,D58))</f>
        <v/>
      </c>
      <c r="N58" s="20">
        <f>IF(D58="","",D58&amp;"|"&amp;M58)</f>
        <v/>
      </c>
      <c r="O58" s="20">
        <f>IF(D58="","",COUNTIFS($D$2:D58,D58,$H$2:H58,"W"))</f>
        <v/>
      </c>
      <c r="P58" s="22">
        <f>IF(D58="","",IFERROR(O58/M58,""))</f>
        <v/>
      </c>
      <c r="Q58" s="20">
        <f>IF(G58="","",IF(G58=1,"1°","2°"))</f>
        <v/>
      </c>
      <c r="R58" s="20">
        <f>IF(B58="","",TEXT(B58,"mmm-yyyy"))</f>
        <v/>
      </c>
    </row>
    <row r="59" ht="15.75" customHeight="1" s="54">
      <c r="A59" s="48" t="n">
        <v>58</v>
      </c>
      <c r="B59" s="24" t="n">
        <v>46254</v>
      </c>
      <c r="C59" s="48" t="inlineStr">
        <is>
          <t>TEF-PBL</t>
        </is>
      </c>
      <c r="D59" s="48" t="inlineStr">
        <is>
          <t>Ragingbolt ex Ogerpon ex</t>
        </is>
      </c>
      <c r="E59" s="48" t="inlineStr">
        <is>
          <t>Bolt v1</t>
        </is>
      </c>
      <c r="F59" s="48" t="inlineStr">
        <is>
          <t>MegaExcadrill ex</t>
        </is>
      </c>
      <c r="G59" s="48" t="n">
        <v>2</v>
      </c>
      <c r="H59" s="48" t="inlineStr">
        <is>
          <t>W</t>
        </is>
      </c>
      <c r="I59" s="48" t="n"/>
      <c r="J59" s="48" t="inlineStr">
        <is>
          <t>Friendly</t>
        </is>
      </c>
      <c r="K59" s="48" t="n"/>
      <c r="L59" s="25">
        <f>IF(D59="","",IF(H59="W",1,IF(H59="L",0,"")))</f>
        <v/>
      </c>
      <c r="M59" s="25">
        <f>IF(D59="","",COUNTIFS($D$2:D59,D59))</f>
        <v/>
      </c>
      <c r="N59" s="25">
        <f>IF(D59="","",D59&amp;"|"&amp;M59)</f>
        <v/>
      </c>
      <c r="O59" s="25">
        <f>IF(D59="","",COUNTIFS($D$2:D59,D59,$H$2:H59,"W"))</f>
        <v/>
      </c>
      <c r="P59" s="26">
        <f>IF(D59="","",IFERROR(O59/M59,""))</f>
        <v/>
      </c>
      <c r="Q59" s="25">
        <f>IF(G59="","",IF(G59=1,"1°","2°"))</f>
        <v/>
      </c>
      <c r="R59" s="25">
        <f>IF(B59="","",TEXT(B59,"mmm-yyyy"))</f>
        <v/>
      </c>
    </row>
    <row r="60" ht="15.75" customHeight="1" s="54">
      <c r="A60" s="44" t="n">
        <v>59</v>
      </c>
      <c r="B60" s="42" t="n">
        <v>46254</v>
      </c>
      <c r="C60" s="44" t="inlineStr">
        <is>
          <t>TEF-PBL</t>
        </is>
      </c>
      <c r="D60" s="44" t="inlineStr">
        <is>
          <t>Ragingbolt ex Ogerpon ex</t>
        </is>
      </c>
      <c r="E60" s="44" t="inlineStr">
        <is>
          <t>Bolt v1</t>
        </is>
      </c>
      <c r="F60" s="44" t="inlineStr">
        <is>
          <t>Garchomp ex</t>
        </is>
      </c>
      <c r="G60" s="44" t="n">
        <v>2</v>
      </c>
      <c r="H60" s="44" t="inlineStr">
        <is>
          <t>W</t>
        </is>
      </c>
      <c r="I60" s="44" t="n"/>
      <c r="J60" s="44" t="inlineStr">
        <is>
          <t>Friendly</t>
        </is>
      </c>
      <c r="K60" s="44" t="n"/>
      <c r="L60" s="20">
        <f>IF(D60="","",IF(H60="W",1,IF(H60="L",0,"")))</f>
        <v/>
      </c>
      <c r="M60" s="20">
        <f>IF(D60="","",COUNTIFS($D$2:D60,D60))</f>
        <v/>
      </c>
      <c r="N60" s="20">
        <f>IF(D60="","",D60&amp;"|"&amp;M60)</f>
        <v/>
      </c>
      <c r="O60" s="20">
        <f>IF(D60="","",COUNTIFS($D$2:D60,D60,$H$2:H60,"W"))</f>
        <v/>
      </c>
      <c r="P60" s="22">
        <f>IF(D60="","",IFERROR(O60/M60,""))</f>
        <v/>
      </c>
      <c r="Q60" s="20">
        <f>IF(G60="","",IF(G60=1,"1°","2°"))</f>
        <v/>
      </c>
      <c r="R60" s="20">
        <f>IF(B60="","",TEXT(B60,"mmm-yyyy"))</f>
        <v/>
      </c>
    </row>
    <row r="61" ht="15.75" customHeight="1" s="54">
      <c r="A61" s="48" t="n">
        <v>60</v>
      </c>
      <c r="B61" s="24" t="n">
        <v>46254</v>
      </c>
      <c r="C61" s="48" t="inlineStr">
        <is>
          <t>TEF-PBL</t>
        </is>
      </c>
      <c r="D61" s="48" t="inlineStr">
        <is>
          <t>Ragingbolt ex Ogerpon ex</t>
        </is>
      </c>
      <c r="E61" s="48" t="inlineStr">
        <is>
          <t>Bolt v1</t>
        </is>
      </c>
      <c r="F61" s="48" t="inlineStr">
        <is>
          <t>Garchomp ex</t>
        </is>
      </c>
      <c r="G61" s="48" t="n">
        <v>2</v>
      </c>
      <c r="H61" s="48" t="inlineStr">
        <is>
          <t>W</t>
        </is>
      </c>
      <c r="I61" s="48" t="n"/>
      <c r="J61" s="48" t="inlineStr">
        <is>
          <t>Friendly</t>
        </is>
      </c>
      <c r="K61" s="48" t="n"/>
      <c r="L61" s="25">
        <f>IF(D61="","",IF(H61="W",1,IF(H61="L",0,"")))</f>
        <v/>
      </c>
      <c r="M61" s="25">
        <f>IF(D61="","",COUNTIFS($D$2:D61,D61))</f>
        <v/>
      </c>
      <c r="N61" s="25">
        <f>IF(D61="","",D61&amp;"|"&amp;M61)</f>
        <v/>
      </c>
      <c r="O61" s="25">
        <f>IF(D61="","",COUNTIFS($D$2:D61,D61,$H$2:H61,"W"))</f>
        <v/>
      </c>
      <c r="P61" s="26">
        <f>IF(D61="","",IFERROR(O61/M61,""))</f>
        <v/>
      </c>
      <c r="Q61" s="25">
        <f>IF(G61="","",IF(G61=1,"1°","2°"))</f>
        <v/>
      </c>
      <c r="R61" s="25">
        <f>IF(B61="","",TEXT(B61,"mmm-yyyy"))</f>
        <v/>
      </c>
    </row>
    <row r="62" ht="15.75" customHeight="1" s="54">
      <c r="A62" s="44" t="n">
        <v>61</v>
      </c>
      <c r="B62" s="42" t="n">
        <v>46254</v>
      </c>
      <c r="C62" s="44" t="inlineStr">
        <is>
          <t>TEF-PBL</t>
        </is>
      </c>
      <c r="D62" s="44" t="inlineStr">
        <is>
          <t>Ragingbolt ex Ogerpon ex</t>
        </is>
      </c>
      <c r="E62" s="44" t="inlineStr">
        <is>
          <t>Bolt v1</t>
        </is>
      </c>
      <c r="F62" s="44" t="inlineStr">
        <is>
          <t>Garchomp ex</t>
        </is>
      </c>
      <c r="G62" s="44" t="n">
        <v>2</v>
      </c>
      <c r="H62" s="44" t="inlineStr">
        <is>
          <t>L</t>
        </is>
      </c>
      <c r="I62" s="44" t="n"/>
      <c r="J62" s="44" t="inlineStr">
        <is>
          <t>Friendly</t>
        </is>
      </c>
      <c r="K62" s="44" t="n"/>
      <c r="L62" s="20">
        <f>IF(D62="","",IF(H62="W",1,IF(H62="L",0,"")))</f>
        <v/>
      </c>
      <c r="M62" s="20">
        <f>IF(D62="","",COUNTIFS($D$2:D62,D62))</f>
        <v/>
      </c>
      <c r="N62" s="20">
        <f>IF(D62="","",D62&amp;"|"&amp;M62)</f>
        <v/>
      </c>
      <c r="O62" s="20">
        <f>IF(D62="","",COUNTIFS($D$2:D62,D62,$H$2:H62,"W"))</f>
        <v/>
      </c>
      <c r="P62" s="22">
        <f>IF(D62="","",IFERROR(O62/M62,""))</f>
        <v/>
      </c>
      <c r="Q62" s="20">
        <f>IF(G62="","",IF(G62=1,"1°","2°"))</f>
        <v/>
      </c>
      <c r="R62" s="20">
        <f>IF(B62="","",TEXT(B62,"mmm-yyyy"))</f>
        <v/>
      </c>
    </row>
    <row r="63" ht="15.75" customHeight="1" s="54">
      <c r="A63" s="48" t="n">
        <v>62</v>
      </c>
      <c r="B63" s="24" t="n">
        <v>46254</v>
      </c>
      <c r="C63" s="48" t="inlineStr">
        <is>
          <t>TEF-PBL</t>
        </is>
      </c>
      <c r="D63" s="48" t="inlineStr">
        <is>
          <t>Ragingbolt ex Ogerpon ex</t>
        </is>
      </c>
      <c r="E63" s="48" t="inlineStr">
        <is>
          <t>Bolt v1</t>
        </is>
      </c>
      <c r="F63" s="48" t="inlineStr">
        <is>
          <t>Hydraigon ex</t>
        </is>
      </c>
      <c r="G63" s="48" t="n">
        <v>1</v>
      </c>
      <c r="H63" s="48" t="inlineStr">
        <is>
          <t>L</t>
        </is>
      </c>
      <c r="I63" s="48" t="inlineStr">
        <is>
          <t>Bad Start</t>
        </is>
      </c>
      <c r="J63" s="48" t="inlineStr">
        <is>
          <t>TCGLive</t>
        </is>
      </c>
      <c r="K63" s="48" t="n"/>
      <c r="L63" s="25">
        <f>IF(D63="","",IF(H63="W",1,IF(H63="L",0,"")))</f>
        <v/>
      </c>
      <c r="M63" s="25">
        <f>IF(D63="","",COUNTIFS($D$2:D63,D63))</f>
        <v/>
      </c>
      <c r="N63" s="25">
        <f>IF(D63="","",D63&amp;"|"&amp;M63)</f>
        <v/>
      </c>
      <c r="O63" s="25">
        <f>IF(D63="","",COUNTIFS($D$2:D63,D63,$H$2:H63,"W"))</f>
        <v/>
      </c>
      <c r="P63" s="26">
        <f>IF(D63="","",IFERROR(O63/M63,""))</f>
        <v/>
      </c>
      <c r="Q63" s="25">
        <f>IF(G63="","",IF(G63=1,"1°","2°"))</f>
        <v/>
      </c>
      <c r="R63" s="25">
        <f>IF(B63="","",TEXT(B63,"mmm-yyyy"))</f>
        <v/>
      </c>
    </row>
    <row r="64" ht="15.75" customHeight="1" s="54">
      <c r="A64" s="44" t="n">
        <v>63</v>
      </c>
      <c r="B64" s="42" t="n">
        <v>46254</v>
      </c>
      <c r="C64" s="44" t="inlineStr">
        <is>
          <t>TEF-PBL</t>
        </is>
      </c>
      <c r="D64" s="44" t="inlineStr">
        <is>
          <t>Ragingbolt ex Ogerpon ex</t>
        </is>
      </c>
      <c r="E64" s="44" t="inlineStr">
        <is>
          <t>Bolt v1</t>
        </is>
      </c>
      <c r="F64" s="44" t="inlineStr">
        <is>
          <t>Doublade</t>
        </is>
      </c>
      <c r="G64" s="44" t="n">
        <v>1</v>
      </c>
      <c r="H64" s="44" t="inlineStr">
        <is>
          <t>L</t>
        </is>
      </c>
      <c r="I64" s="44" t="inlineStr">
        <is>
          <t>Bad Start</t>
        </is>
      </c>
      <c r="J64" s="44" t="inlineStr">
        <is>
          <t>TCGLive</t>
        </is>
      </c>
      <c r="K64" s="44" t="inlineStr">
        <is>
          <t>Prioritizza ogerpon</t>
        </is>
      </c>
      <c r="L64" s="20">
        <f>IF(D64="","",IF(H64="W",1,IF(H64="L",0,"")))</f>
        <v/>
      </c>
      <c r="M64" s="20">
        <f>IF(D64="","",COUNTIFS($D$2:D64,D64))</f>
        <v/>
      </c>
      <c r="N64" s="20">
        <f>IF(D64="","",D64&amp;"|"&amp;M64)</f>
        <v/>
      </c>
      <c r="O64" s="20">
        <f>IF(D64="","",COUNTIFS($D$2:D64,D64,$H$2:H64,"W"))</f>
        <v/>
      </c>
      <c r="P64" s="22">
        <f>IF(D64="","",IFERROR(O64/M64,""))</f>
        <v/>
      </c>
      <c r="Q64" s="20">
        <f>IF(G64="","",IF(G64=1,"1°","2°"))</f>
        <v/>
      </c>
      <c r="R64" s="20">
        <f>IF(B64="","",TEXT(B64,"mmm-yyyy"))</f>
        <v/>
      </c>
    </row>
    <row r="65" ht="15.75" customHeight="1" s="54">
      <c r="A65" s="48" t="n">
        <v>64</v>
      </c>
      <c r="B65" s="24" t="n">
        <v>46254</v>
      </c>
      <c r="C65" s="48" t="inlineStr">
        <is>
          <t>TEF-PBL</t>
        </is>
      </c>
      <c r="D65" s="48" t="inlineStr">
        <is>
          <t>Ragingbolt ex Ogerpon ex</t>
        </is>
      </c>
      <c r="E65" s="48" t="inlineStr">
        <is>
          <t>Bolt v1</t>
        </is>
      </c>
      <c r="F65" s="48" t="inlineStr">
        <is>
          <t>Dragapult ex</t>
        </is>
      </c>
      <c r="G65" s="48" t="n">
        <v>1</v>
      </c>
      <c r="H65" s="48" t="inlineStr">
        <is>
          <t>L</t>
        </is>
      </c>
      <c r="I65" s="48" t="inlineStr">
        <is>
          <t>Bad Start</t>
        </is>
      </c>
      <c r="J65" s="48" t="inlineStr">
        <is>
          <t>TCGLive</t>
        </is>
      </c>
      <c r="K65" s="48" t="inlineStr">
        <is>
          <t>Potevi mettere un kanga pulito alla fine sperando non avesse boss</t>
        </is>
      </c>
      <c r="L65" s="25">
        <f>IF(D65="","",IF(H65="W",1,IF(H65="L",0,"")))</f>
        <v/>
      </c>
      <c r="M65" s="25">
        <f>IF(D65="","",COUNTIFS($D$2:D65,D65))</f>
        <v/>
      </c>
      <c r="N65" s="25">
        <f>IF(D65="","",D65&amp;"|"&amp;M65)</f>
        <v/>
      </c>
      <c r="O65" s="25">
        <f>IF(D65="","",COUNTIFS($D$2:D65,D65,$H$2:H65,"W"))</f>
        <v/>
      </c>
      <c r="P65" s="26">
        <f>IF(D65="","",IFERROR(O65/M65,""))</f>
        <v/>
      </c>
      <c r="Q65" s="25">
        <f>IF(G65="","",IF(G65=1,"1°","2°"))</f>
        <v/>
      </c>
      <c r="R65" s="25">
        <f>IF(B65="","",TEXT(B65,"mmm-yyyy"))</f>
        <v/>
      </c>
    </row>
    <row r="66" ht="15.75" customHeight="1" s="54">
      <c r="A66" s="44" t="n">
        <v>65</v>
      </c>
      <c r="B66" s="42" t="n">
        <v>46254</v>
      </c>
      <c r="C66" s="44" t="inlineStr">
        <is>
          <t>TEF-PBL</t>
        </is>
      </c>
      <c r="D66" s="44" t="inlineStr">
        <is>
          <t>Ragingbolt ex Ogerpon ex</t>
        </is>
      </c>
      <c r="E66" s="44" t="inlineStr">
        <is>
          <t>Bolt v1</t>
        </is>
      </c>
      <c r="F66" s="44" t="inlineStr">
        <is>
          <t>Dhelmise Banette</t>
        </is>
      </c>
      <c r="G66" s="44" t="n">
        <v>1</v>
      </c>
      <c r="H66" s="44" t="inlineStr">
        <is>
          <t>W</t>
        </is>
      </c>
      <c r="I66" s="44" t="n"/>
      <c r="J66" s="44" t="inlineStr">
        <is>
          <t>TCGLive</t>
        </is>
      </c>
      <c r="K66" s="44" t="inlineStr">
        <is>
          <t>Giocata di mega kanga</t>
        </is>
      </c>
      <c r="L66" s="20">
        <f>IF(D66="","",IF(H66="W",1,IF(H66="L",0,"")))</f>
        <v/>
      </c>
      <c r="M66" s="20">
        <f>IF(D66="","",COUNTIFS($D$2:D66,D66))</f>
        <v/>
      </c>
      <c r="N66" s="20">
        <f>IF(D66="","",D66&amp;"|"&amp;M66)</f>
        <v/>
      </c>
      <c r="O66" s="20">
        <f>IF(D66="","",COUNTIFS($D$2:D66,D66,$H$2:H66,"W"))</f>
        <v/>
      </c>
      <c r="P66" s="22">
        <f>IF(D66="","",IFERROR(O66/M66,""))</f>
        <v/>
      </c>
      <c r="Q66" s="20">
        <f>IF(G66="","",IF(G66=1,"1°","2°"))</f>
        <v/>
      </c>
      <c r="R66" s="20">
        <f>IF(B66="","",TEXT(B66,"mmm-yyyy"))</f>
        <v/>
      </c>
    </row>
    <row r="67" ht="15.75" customHeight="1" s="54">
      <c r="A67" s="48" t="n">
        <v>66</v>
      </c>
      <c r="B67" s="24" t="n">
        <v>46254</v>
      </c>
      <c r="C67" s="48" t="inlineStr">
        <is>
          <t>TEF-PBL</t>
        </is>
      </c>
      <c r="D67" s="48" t="inlineStr">
        <is>
          <t>Dragapult ex Blaziken ex</t>
        </is>
      </c>
      <c r="E67" s="48" t="inlineStr">
        <is>
          <t>Dragapolli v1</t>
        </is>
      </c>
      <c r="F67" s="48" t="inlineStr">
        <is>
          <t>Toxtricity box</t>
        </is>
      </c>
      <c r="G67" s="48" t="n">
        <v>1</v>
      </c>
      <c r="H67" s="48" t="inlineStr">
        <is>
          <t>L</t>
        </is>
      </c>
      <c r="I67" s="48" t="n"/>
      <c r="J67" s="48" t="inlineStr">
        <is>
          <t>TCGLive</t>
        </is>
      </c>
      <c r="K67" s="48" t="inlineStr">
        <is>
          <t>Attento a non lasciare troppi danni in giro</t>
        </is>
      </c>
      <c r="L67" s="25">
        <f>IF(D67="","",IF(H67="W",1,IF(H67="L",0,"")))</f>
        <v/>
      </c>
      <c r="M67" s="25">
        <f>IF(D67="","",COUNTIFS($D$2:D67,D67))</f>
        <v/>
      </c>
      <c r="N67" s="25">
        <f>IF(D67="","",D67&amp;"|"&amp;M67)</f>
        <v/>
      </c>
      <c r="O67" s="25">
        <f>IF(D67="","",COUNTIFS($D$2:D67,D67,$H$2:H67,"W"))</f>
        <v/>
      </c>
      <c r="P67" s="26">
        <f>IF(D67="","",IFERROR(O67/M67,""))</f>
        <v/>
      </c>
      <c r="Q67" s="25">
        <f>IF(G67="","",IF(G67=1,"1°","2°"))</f>
        <v/>
      </c>
      <c r="R67" s="25">
        <f>IF(B67="","",TEXT(B67,"mmm-yyyy"))</f>
        <v/>
      </c>
    </row>
    <row r="68" ht="15.75" customHeight="1" s="54">
      <c r="A68" s="44" t="n">
        <v>67</v>
      </c>
      <c r="B68" s="42" t="n">
        <v>46254</v>
      </c>
      <c r="C68" s="44" t="inlineStr">
        <is>
          <t>TEF-PBL</t>
        </is>
      </c>
      <c r="D68" s="44" t="inlineStr">
        <is>
          <t>Dragapult ex Blaziken ex</t>
        </is>
      </c>
      <c r="E68" s="44" t="inlineStr">
        <is>
          <t>Dragapolli v1</t>
        </is>
      </c>
      <c r="F68" s="44" t="inlineStr">
        <is>
          <t>Toxtricity box</t>
        </is>
      </c>
      <c r="G68" s="44" t="n">
        <v>1</v>
      </c>
      <c r="H68" s="44" t="inlineStr">
        <is>
          <t>W</t>
        </is>
      </c>
      <c r="I68" s="44" t="n"/>
      <c r="J68" s="44" t="inlineStr">
        <is>
          <t>TCGLive</t>
        </is>
      </c>
      <c r="K68" s="44" t="n"/>
      <c r="L68" s="20">
        <f>IF(D68="","",IF(H68="W",1,IF(H68="L",0,"")))</f>
        <v/>
      </c>
      <c r="M68" s="20">
        <f>IF(D68="","",COUNTIFS($D$2:D68,D68))</f>
        <v/>
      </c>
      <c r="N68" s="20">
        <f>IF(D68="","",D68&amp;"|"&amp;M68)</f>
        <v/>
      </c>
      <c r="O68" s="20">
        <f>IF(D68="","",COUNTIFS($D$2:D68,D68,$H$2:H68,"W"))</f>
        <v/>
      </c>
      <c r="P68" s="22">
        <f>IF(D68="","",IFERROR(O68/M68,""))</f>
        <v/>
      </c>
      <c r="Q68" s="20">
        <f>IF(G68="","",IF(G68=1,"1°","2°"))</f>
        <v/>
      </c>
      <c r="R68" s="20">
        <f>IF(B68="","",TEXT(B68,"mmm-yyyy"))</f>
        <v/>
      </c>
    </row>
    <row r="69" ht="15.75" customHeight="1" s="54">
      <c r="A69" s="48" t="n">
        <v>68</v>
      </c>
      <c r="B69" s="24" t="n">
        <v>46254</v>
      </c>
      <c r="C69" s="48" t="inlineStr">
        <is>
          <t>TEF-PBL</t>
        </is>
      </c>
      <c r="D69" s="48" t="inlineStr">
        <is>
          <t>Dragapult ex Blaziken ex</t>
        </is>
      </c>
      <c r="E69" s="48" t="inlineStr">
        <is>
          <t>Dragapolli v1</t>
        </is>
      </c>
      <c r="F69" s="48" t="inlineStr">
        <is>
          <t>MegaExcadrill ex</t>
        </is>
      </c>
      <c r="G69" s="48" t="n">
        <v>1</v>
      </c>
      <c r="H69" s="48" t="inlineStr">
        <is>
          <t>W</t>
        </is>
      </c>
      <c r="I69" s="48" t="n"/>
      <c r="J69" s="48" t="inlineStr">
        <is>
          <t>TCGLive</t>
        </is>
      </c>
      <c r="K69" s="48" t="n"/>
      <c r="L69" s="25">
        <f>IF(D69="","",IF(H69="W",1,IF(H69="L",0,"")))</f>
        <v/>
      </c>
      <c r="M69" s="25">
        <f>IF(D69="","",COUNTIFS($D$2:D69,D69))</f>
        <v/>
      </c>
      <c r="N69" s="25">
        <f>IF(D69="","",D69&amp;"|"&amp;M69)</f>
        <v/>
      </c>
      <c r="O69" s="25">
        <f>IF(D69="","",COUNTIFS($D$2:D69,D69,$H$2:H69,"W"))</f>
        <v/>
      </c>
      <c r="P69" s="26">
        <f>IF(D69="","",IFERROR(O69/M69,""))</f>
        <v/>
      </c>
      <c r="Q69" s="25">
        <f>IF(G69="","",IF(G69=1,"1°","2°"))</f>
        <v/>
      </c>
      <c r="R69" s="25">
        <f>IF(B69="","",TEXT(B69,"mmm-yyyy"))</f>
        <v/>
      </c>
    </row>
    <row r="70" ht="15.75" customHeight="1" s="54">
      <c r="A70" s="44" t="n">
        <v>69</v>
      </c>
      <c r="B70" s="42" t="n">
        <v>46254</v>
      </c>
      <c r="C70" s="44" t="inlineStr">
        <is>
          <t>TEF-PBL</t>
        </is>
      </c>
      <c r="D70" s="44" t="inlineStr">
        <is>
          <t>Dragapult ex Blaziken ex</t>
        </is>
      </c>
      <c r="E70" s="44" t="inlineStr">
        <is>
          <t>Dragapolli v1</t>
        </is>
      </c>
      <c r="F70" s="44" t="inlineStr">
        <is>
          <t>Raging Bolt</t>
        </is>
      </c>
      <c r="G70" s="44" t="n">
        <v>1</v>
      </c>
      <c r="H70" s="44" t="inlineStr">
        <is>
          <t>L</t>
        </is>
      </c>
      <c r="I70" s="44" t="inlineStr">
        <is>
          <t>Bad Luck</t>
        </is>
      </c>
      <c r="J70" s="44" t="inlineStr">
        <is>
          <t>TCGLive</t>
        </is>
      </c>
      <c r="K70" s="44" t="n"/>
      <c r="L70" s="20">
        <f>IF(D70="","",IF(H70="W",1,IF(H70="L",0,"")))</f>
        <v/>
      </c>
      <c r="M70" s="20">
        <f>IF(D70="","",COUNTIFS($D$2:D70,D70))</f>
        <v/>
      </c>
      <c r="N70" s="20">
        <f>IF(D70="","",D70&amp;"|"&amp;M70)</f>
        <v/>
      </c>
      <c r="O70" s="20">
        <f>IF(D70="","",COUNTIFS($D$2:D70,D70,$H$2:H70,"W"))</f>
        <v/>
      </c>
      <c r="P70" s="22">
        <f>IF(D70="","",IFERROR(O70/M70,""))</f>
        <v/>
      </c>
      <c r="Q70" s="20">
        <f>IF(G70="","",IF(G70=1,"1°","2°"))</f>
        <v/>
      </c>
      <c r="R70" s="20">
        <f>IF(B70="","",TEXT(B70,"mmm-yyyy"))</f>
        <v/>
      </c>
    </row>
    <row r="71" ht="15.75" customHeight="1" s="54">
      <c r="A71" s="48" t="n">
        <v>70</v>
      </c>
      <c r="B71" s="24" t="n">
        <v>46254</v>
      </c>
      <c r="C71" s="48" t="inlineStr">
        <is>
          <t>TEF-PBL</t>
        </is>
      </c>
      <c r="D71" s="48" t="inlineStr">
        <is>
          <t>Dragapult ex Blaziken ex</t>
        </is>
      </c>
      <c r="E71" s="48" t="inlineStr">
        <is>
          <t>Dragapolli v1</t>
        </is>
      </c>
      <c r="F71" s="48" t="inlineStr">
        <is>
          <t>MegaLucario ex</t>
        </is>
      </c>
      <c r="G71" s="48" t="n">
        <v>2</v>
      </c>
      <c r="H71" s="48" t="inlineStr">
        <is>
          <t>W</t>
        </is>
      </c>
      <c r="I71" s="48" t="n"/>
      <c r="J71" s="48" t="inlineStr">
        <is>
          <t>TCGLive</t>
        </is>
      </c>
      <c r="K71" s="48" t="n"/>
      <c r="L71" s="25">
        <f>IF(D71="","",IF(H71="W",1,IF(H71="L",0,"")))</f>
        <v/>
      </c>
      <c r="M71" s="25">
        <f>IF(D71="","",COUNTIFS($D$2:D71,D71))</f>
        <v/>
      </c>
      <c r="N71" s="25">
        <f>IF(D71="","",D71&amp;"|"&amp;M71)</f>
        <v/>
      </c>
      <c r="O71" s="25">
        <f>IF(D71="","",COUNTIFS($D$2:D71,D71,$H$2:H71,"W"))</f>
        <v/>
      </c>
      <c r="P71" s="26">
        <f>IF(D71="","",IFERROR(O71/M71,""))</f>
        <v/>
      </c>
      <c r="Q71" s="25">
        <f>IF(G71="","",IF(G71=1,"1°","2°"))</f>
        <v/>
      </c>
      <c r="R71" s="25">
        <f>IF(B71="","",TEXT(B71,"mmm-yyyy"))</f>
        <v/>
      </c>
    </row>
    <row r="72" ht="15.75" customHeight="1" s="54">
      <c r="A72" s="44" t="n">
        <v>71</v>
      </c>
      <c r="B72" s="42" t="n">
        <v>46254</v>
      </c>
      <c r="C72" s="44" t="inlineStr">
        <is>
          <t>TEF-PBL</t>
        </is>
      </c>
      <c r="D72" s="44" t="inlineStr">
        <is>
          <t>Dragapult ex</t>
        </is>
      </c>
      <c r="E72" s="44" t="inlineStr">
        <is>
          <t>Dragapult v2</t>
        </is>
      </c>
      <c r="F72" s="44" t="inlineStr">
        <is>
          <t>Alakazam Dudunsparce</t>
        </is>
      </c>
      <c r="G72" s="44" t="n">
        <v>1</v>
      </c>
      <c r="H72" s="44" t="inlineStr">
        <is>
          <t>L</t>
        </is>
      </c>
      <c r="I72" s="44" t="inlineStr">
        <is>
          <t>Bad Start</t>
        </is>
      </c>
      <c r="J72" s="44" t="inlineStr">
        <is>
          <t>TCGLive</t>
        </is>
      </c>
      <c r="K72" s="44" t="n"/>
      <c r="L72" s="20">
        <f>IF(D72="","",IF(H72="W",1,IF(H72="L",0,"")))</f>
        <v/>
      </c>
      <c r="M72" s="20">
        <f>IF(D72="","",COUNTIFS($D$2:D72,D72))</f>
        <v/>
      </c>
      <c r="N72" s="20">
        <f>IF(D72="","",D72&amp;"|"&amp;M72)</f>
        <v/>
      </c>
      <c r="O72" s="20">
        <f>IF(D72="","",COUNTIFS($D$2:D72,D72,$H$2:H72,"W"))</f>
        <v/>
      </c>
      <c r="P72" s="22">
        <f>IF(D72="","",IFERROR(O72/M72,""))</f>
        <v/>
      </c>
      <c r="Q72" s="20">
        <f>IF(G72="","",IF(G72=1,"1°","2°"))</f>
        <v/>
      </c>
      <c r="R72" s="20">
        <f>IF(B72="","",TEXT(B72,"mmm-yyyy"))</f>
        <v/>
      </c>
    </row>
    <row r="73" ht="15.75" customHeight="1" s="54">
      <c r="A73" s="48" t="n">
        <v>72</v>
      </c>
      <c r="B73" s="24" t="n">
        <v>46254</v>
      </c>
      <c r="C73" s="48" t="inlineStr">
        <is>
          <t>TEF-PBL</t>
        </is>
      </c>
      <c r="D73" s="48" t="inlineStr">
        <is>
          <t>Dragapult ex</t>
        </is>
      </c>
      <c r="E73" s="48" t="inlineStr">
        <is>
          <t>Dragapult v2</t>
        </is>
      </c>
      <c r="F73" s="48" t="inlineStr">
        <is>
          <t>Grimmsnarl ex Froslass</t>
        </is>
      </c>
      <c r="G73" s="48" t="n">
        <v>1</v>
      </c>
      <c r="H73" s="48" t="inlineStr">
        <is>
          <t>W</t>
        </is>
      </c>
      <c r="I73" s="48" t="inlineStr">
        <is>
          <t>Bad Opening</t>
        </is>
      </c>
      <c r="J73" s="48" t="inlineStr">
        <is>
          <t>TCGLive</t>
        </is>
      </c>
      <c r="K73" s="48" t="n"/>
      <c r="L73" s="25">
        <f>IF(D73="","",IF(H73="W",1,IF(H73="L",0,"")))</f>
        <v/>
      </c>
      <c r="M73" s="25">
        <f>IF(D73="","",COUNTIFS($D$2:D73,D73))</f>
        <v/>
      </c>
      <c r="N73" s="25">
        <f>IF(D73="","",D73&amp;"|"&amp;M73)</f>
        <v/>
      </c>
      <c r="O73" s="25">
        <f>IF(D73="","",COUNTIFS($D$2:D73,D73,$H$2:H73,"W"))</f>
        <v/>
      </c>
      <c r="P73" s="26">
        <f>IF(D73="","",IFERROR(O73/M73,""))</f>
        <v/>
      </c>
      <c r="Q73" s="25">
        <f>IF(G73="","",IF(G73=1,"1°","2°"))</f>
        <v/>
      </c>
      <c r="R73" s="25">
        <f>IF(B73="","",TEXT(B73,"mmm-yyyy"))</f>
        <v/>
      </c>
    </row>
    <row r="74" ht="15.75" customHeight="1" s="54">
      <c r="A74" s="44" t="n">
        <v>73</v>
      </c>
      <c r="B74" s="42" t="n">
        <v>46254</v>
      </c>
      <c r="C74" s="44" t="inlineStr">
        <is>
          <t>TEF-PBL</t>
        </is>
      </c>
      <c r="D74" s="44" t="inlineStr">
        <is>
          <t>Dragapult ex</t>
        </is>
      </c>
      <c r="E74" s="44" t="inlineStr">
        <is>
          <t>Dragapult v2</t>
        </is>
      </c>
      <c r="F74" s="44" t="inlineStr">
        <is>
          <t>Hydrapple ex Ogerpon ex</t>
        </is>
      </c>
      <c r="G74" s="44" t="n">
        <v>1</v>
      </c>
      <c r="H74" s="44" t="inlineStr">
        <is>
          <t>W</t>
        </is>
      </c>
      <c r="I74" s="44" t="inlineStr">
        <is>
          <t>Bad Opening</t>
        </is>
      </c>
      <c r="J74" s="44" t="inlineStr">
        <is>
          <t>TCGLive</t>
        </is>
      </c>
      <c r="K74" s="44" t="n"/>
      <c r="L74" s="20">
        <f>IF(D74="","",IF(H74="W",1,IF(H74="L",0,"")))</f>
        <v/>
      </c>
      <c r="M74" s="20">
        <f>IF(D74="","",COUNTIFS($D$2:D74,D74))</f>
        <v/>
      </c>
      <c r="N74" s="20">
        <f>IF(D74="","",D74&amp;"|"&amp;M74)</f>
        <v/>
      </c>
      <c r="O74" s="20">
        <f>IF(D74="","",COUNTIFS($D$2:D74,D74,$H$2:H74,"W"))</f>
        <v/>
      </c>
      <c r="P74" s="22">
        <f>IF(D74="","",IFERROR(O74/M74,""))</f>
        <v/>
      </c>
      <c r="Q74" s="20">
        <f>IF(G74="","",IF(G74=1,"1°","2°"))</f>
        <v/>
      </c>
      <c r="R74" s="20">
        <f>IF(B74="","",TEXT(B74,"mmm-yyyy"))</f>
        <v/>
      </c>
    </row>
    <row r="75" ht="15.75" customHeight="1" s="54">
      <c r="A75" s="48" t="n">
        <v>74</v>
      </c>
      <c r="B75" s="24" t="n">
        <v>46254</v>
      </c>
      <c r="C75" s="48" t="inlineStr">
        <is>
          <t>TEF-PBL</t>
        </is>
      </c>
      <c r="D75" s="48" t="inlineStr">
        <is>
          <t>Dragapult ex Blaziken ex</t>
        </is>
      </c>
      <c r="E75" s="48" t="inlineStr">
        <is>
          <t>Dragapolli v1</t>
        </is>
      </c>
      <c r="F75" s="48" t="inlineStr">
        <is>
          <t>Area Della Festa</t>
        </is>
      </c>
      <c r="G75" s="48" t="n">
        <v>1</v>
      </c>
      <c r="H75" s="48" t="inlineStr">
        <is>
          <t>L</t>
        </is>
      </c>
      <c r="I75" s="48" t="n"/>
      <c r="J75" s="48" t="inlineStr">
        <is>
          <t>TCGLive</t>
        </is>
      </c>
      <c r="K75" s="48" t="n"/>
      <c r="L75" s="25">
        <f>IF(D75="","",IF(H75="W",1,IF(H75="L",0,"")))</f>
        <v/>
      </c>
      <c r="M75" s="25">
        <f>IF(D75="","",COUNTIFS($D$2:D75,D75))</f>
        <v/>
      </c>
      <c r="N75" s="25">
        <f>IF(D75="","",D75&amp;"|"&amp;M75)</f>
        <v/>
      </c>
      <c r="O75" s="25">
        <f>IF(D75="","",COUNTIFS($D$2:D75,D75,$H$2:H75,"W"))</f>
        <v/>
      </c>
      <c r="P75" s="26">
        <f>IF(D75="","",IFERROR(O75/M75,""))</f>
        <v/>
      </c>
      <c r="Q75" s="25">
        <f>IF(G75="","",IF(G75=1,"1°","2°"))</f>
        <v/>
      </c>
      <c r="R75" s="25">
        <f>IF(B75="","",TEXT(B75,"mmm-yyyy"))</f>
        <v/>
      </c>
    </row>
    <row r="76" ht="15.75" customHeight="1" s="54">
      <c r="A76" s="44" t="n">
        <v>75</v>
      </c>
      <c r="B76" s="42" t="n">
        <v>46254</v>
      </c>
      <c r="C76" s="44" t="inlineStr">
        <is>
          <t>TEF-PBL</t>
        </is>
      </c>
      <c r="D76" s="44" t="inlineStr">
        <is>
          <t>Dragapult ex Blaziken ex</t>
        </is>
      </c>
      <c r="E76" s="44" t="inlineStr">
        <is>
          <t>Dragapolli v1</t>
        </is>
      </c>
      <c r="F76" s="44" t="inlineStr">
        <is>
          <t>Dhelmise Banette</t>
        </is>
      </c>
      <c r="G76" s="44" t="n">
        <v>1</v>
      </c>
      <c r="H76" s="44" t="inlineStr">
        <is>
          <t>W</t>
        </is>
      </c>
      <c r="I76" s="44" t="n"/>
      <c r="J76" s="44" t="inlineStr">
        <is>
          <t>TCGLive</t>
        </is>
      </c>
      <c r="K76" s="44" t="n"/>
      <c r="L76" s="20">
        <f>IF(D76="","",IF(H76="W",1,IF(H76="L",0,"")))</f>
        <v/>
      </c>
      <c r="M76" s="20">
        <f>IF(D76="","",COUNTIFS($D$2:D76,D76))</f>
        <v/>
      </c>
      <c r="N76" s="20">
        <f>IF(D76="","",D76&amp;"|"&amp;M76)</f>
        <v/>
      </c>
      <c r="O76" s="20">
        <f>IF(D76="","",COUNTIFS($D$2:D76,D76,$H$2:H76,"W"))</f>
        <v/>
      </c>
      <c r="P76" s="22">
        <f>IF(D76="","",IFERROR(O76/M76,""))</f>
        <v/>
      </c>
      <c r="Q76" s="20">
        <f>IF(G76="","",IF(G76=1,"1°","2°"))</f>
        <v/>
      </c>
      <c r="R76" s="20">
        <f>IF(B76="","",TEXT(B76,"mmm-yyyy"))</f>
        <v/>
      </c>
    </row>
    <row r="77" ht="15.75" customHeight="1" s="54">
      <c r="A77" s="48" t="n">
        <v>76</v>
      </c>
      <c r="B77" s="24" t="n">
        <v>46254</v>
      </c>
      <c r="C77" s="48" t="inlineStr">
        <is>
          <t>TEF-PBL</t>
        </is>
      </c>
      <c r="D77" s="48" t="inlineStr">
        <is>
          <t>Dragapult ex Blaziken ex</t>
        </is>
      </c>
      <c r="E77" s="48" t="inlineStr">
        <is>
          <t>Dragapolli v1</t>
        </is>
      </c>
      <c r="F77" s="48" t="inlineStr">
        <is>
          <t>Typhlosion</t>
        </is>
      </c>
      <c r="G77" s="48" t="n">
        <v>2</v>
      </c>
      <c r="H77" s="48" t="inlineStr">
        <is>
          <t>L</t>
        </is>
      </c>
      <c r="I77" s="48" t="n"/>
      <c r="J77" s="48" t="inlineStr">
        <is>
          <t>TCGLive</t>
        </is>
      </c>
      <c r="K77" s="48" t="inlineStr">
        <is>
          <t>Importanti le stadio + timbro + cartellino</t>
        </is>
      </c>
      <c r="L77" s="25">
        <f>IF(D77="","",IF(H77="W",1,IF(H77="L",0,"")))</f>
        <v/>
      </c>
      <c r="M77" s="25">
        <f>IF(D77="","",COUNTIFS($D$2:D77,D77))</f>
        <v/>
      </c>
      <c r="N77" s="25">
        <f>IF(D77="","",D77&amp;"|"&amp;M77)</f>
        <v/>
      </c>
      <c r="O77" s="25">
        <f>IF(D77="","",COUNTIFS($D$2:D77,D77,$H$2:H77,"W"))</f>
        <v/>
      </c>
      <c r="P77" s="26">
        <f>IF(D77="","",IFERROR(O77/M77,""))</f>
        <v/>
      </c>
      <c r="Q77" s="25">
        <f>IF(G77="","",IF(G77=1,"1°","2°"))</f>
        <v/>
      </c>
      <c r="R77" s="25">
        <f>IF(B77="","",TEXT(B77,"mmm-yyyy"))</f>
        <v/>
      </c>
    </row>
    <row r="78" ht="15.75" customHeight="1" s="54">
      <c r="A78" s="44" t="n">
        <v>77</v>
      </c>
      <c r="B78" s="42" t="n">
        <v>46254</v>
      </c>
      <c r="C78" s="44" t="inlineStr">
        <is>
          <t>TEF-PBL</t>
        </is>
      </c>
      <c r="D78" s="44" t="inlineStr">
        <is>
          <t>Dragapult ex Blaziken ex</t>
        </is>
      </c>
      <c r="E78" s="44" t="inlineStr">
        <is>
          <t>Dragapolli v1</t>
        </is>
      </c>
      <c r="F78" s="44" t="inlineStr">
        <is>
          <t>Dragapult ex Blaziken ex</t>
        </is>
      </c>
      <c r="G78" s="44" t="n">
        <v>2</v>
      </c>
      <c r="H78" s="44" t="inlineStr">
        <is>
          <t>W</t>
        </is>
      </c>
      <c r="I78" s="44" t="n"/>
      <c r="J78" s="44" t="inlineStr">
        <is>
          <t>TCGLive</t>
        </is>
      </c>
      <c r="K78" s="44" t="inlineStr">
        <is>
          <t>Da controllare di avere sempre le energie negli scarti, sia tue che sue, ho vinto per quello, boss su blaziken!</t>
        </is>
      </c>
      <c r="L78" s="20">
        <f>IF(D78="","",IF(H78="W",1,IF(H78="L",0,"")))</f>
        <v/>
      </c>
      <c r="M78" s="20">
        <f>IF(D78="","",COUNTIFS($D$2:D78,D78))</f>
        <v/>
      </c>
      <c r="N78" s="20">
        <f>IF(D78="","",D78&amp;"|"&amp;M78)</f>
        <v/>
      </c>
      <c r="O78" s="20">
        <f>IF(D78="","",COUNTIFS($D$2:D78,D78,$H$2:H78,"W"))</f>
        <v/>
      </c>
      <c r="P78" s="22">
        <f>IF(D78="","",IFERROR(O78/M78,""))</f>
        <v/>
      </c>
      <c r="Q78" s="20">
        <f>IF(G78="","",IF(G78=1,"1°","2°"))</f>
        <v/>
      </c>
      <c r="R78" s="20">
        <f>IF(B78="","",TEXT(B78,"mmm-yyyy"))</f>
        <v/>
      </c>
    </row>
    <row r="79" ht="15.75" customHeight="1" s="54">
      <c r="A79" s="48" t="n">
        <v>78</v>
      </c>
      <c r="B79" s="24" t="n">
        <v>46254</v>
      </c>
      <c r="C79" s="48" t="inlineStr">
        <is>
          <t>TEF-PBL</t>
        </is>
      </c>
      <c r="D79" s="48" t="inlineStr">
        <is>
          <t>Dragapult ex Blaziken ex</t>
        </is>
      </c>
      <c r="E79" s="48" t="inlineStr">
        <is>
          <t>Dragapolli v1</t>
        </is>
      </c>
      <c r="F79" s="48" t="inlineStr">
        <is>
          <t>Grimmsnarl ex Froslass</t>
        </is>
      </c>
      <c r="G79" s="48" t="n">
        <v>2</v>
      </c>
      <c r="H79" s="48" t="inlineStr">
        <is>
          <t>L</t>
        </is>
      </c>
      <c r="I79" s="48" t="n"/>
      <c r="J79" s="48" t="inlineStr">
        <is>
          <t>TCGLive</t>
        </is>
      </c>
      <c r="K79" s="48" t="n"/>
      <c r="L79" s="25">
        <f>IF(D79="","",IF(H79="W",1,IF(H79="L",0,"")))</f>
        <v/>
      </c>
      <c r="M79" s="25">
        <f>IF(D79="","",COUNTIFS($D$2:D79,D79))</f>
        <v/>
      </c>
      <c r="N79" s="25">
        <f>IF(D79="","",D79&amp;"|"&amp;M79)</f>
        <v/>
      </c>
      <c r="O79" s="25">
        <f>IF(D79="","",COUNTIFS($D$2:D79,D79,$H$2:H79,"W"))</f>
        <v/>
      </c>
      <c r="P79" s="26">
        <f>IF(D79="","",IFERROR(O79/M79,""))</f>
        <v/>
      </c>
      <c r="Q79" s="25">
        <f>IF(G79="","",IF(G79=1,"1°","2°"))</f>
        <v/>
      </c>
      <c r="R79" s="25">
        <f>IF(B79="","",TEXT(B79,"mmm-yyyy"))</f>
        <v/>
      </c>
    </row>
    <row r="80" ht="15.75" customHeight="1" s="54">
      <c r="A80" s="44" t="n">
        <v>79</v>
      </c>
      <c r="B80" s="42" t="n">
        <v>46254</v>
      </c>
      <c r="C80" s="44" t="inlineStr">
        <is>
          <t>TEF-PBL</t>
        </is>
      </c>
      <c r="D80" s="44" t="inlineStr">
        <is>
          <t>Dragapult ex Blaziken ex</t>
        </is>
      </c>
      <c r="E80" s="44" t="inlineStr">
        <is>
          <t>Dragapolli v1</t>
        </is>
      </c>
      <c r="F80" s="44" t="inlineStr">
        <is>
          <t>Dragapult ex Blaziken ex</t>
        </is>
      </c>
      <c r="G80" s="44" t="n">
        <v>2</v>
      </c>
      <c r="H80" s="44" t="inlineStr">
        <is>
          <t>W</t>
        </is>
      </c>
      <c r="I80" s="44" t="n"/>
      <c r="J80" s="44" t="inlineStr">
        <is>
          <t>TCGLive</t>
        </is>
      </c>
      <c r="K80" s="44" t="n"/>
      <c r="L80" s="20">
        <f>IF(D80="","",IF(H80="W",1,IF(H80="L",0,"")))</f>
        <v/>
      </c>
      <c r="M80" s="20">
        <f>IF(D80="","",COUNTIFS($D$2:D80,D80))</f>
        <v/>
      </c>
      <c r="N80" s="20">
        <f>IF(D80="","",D80&amp;"|"&amp;M80)</f>
        <v/>
      </c>
      <c r="O80" s="20">
        <f>IF(D80="","",COUNTIFS($D$2:D80,D80,$H$2:H80,"W"))</f>
        <v/>
      </c>
      <c r="P80" s="22">
        <f>IF(D80="","",IFERROR(O80/M80,""))</f>
        <v/>
      </c>
      <c r="Q80" s="20">
        <f>IF(G80="","",IF(G80=1,"1°","2°"))</f>
        <v/>
      </c>
      <c r="R80" s="20">
        <f>IF(B80="","",TEXT(B80,"mmm-yyyy"))</f>
        <v/>
      </c>
    </row>
    <row r="81" ht="15.75" customHeight="1" s="54">
      <c r="A81" s="48" t="n">
        <v>80</v>
      </c>
      <c r="B81" s="24" t="n">
        <v>46254</v>
      </c>
      <c r="C81" s="48" t="inlineStr">
        <is>
          <t>TEF-PBL</t>
        </is>
      </c>
      <c r="D81" s="48" t="inlineStr">
        <is>
          <t>Dragapult ex Blaziken ex</t>
        </is>
      </c>
      <c r="E81" s="48" t="inlineStr">
        <is>
          <t>Dragapolli v3</t>
        </is>
      </c>
      <c r="F81" s="48" t="inlineStr">
        <is>
          <t>Dragapult ex Blaziken ex</t>
        </is>
      </c>
      <c r="G81" s="48" t="n">
        <v>2</v>
      </c>
      <c r="H81" s="48" t="inlineStr">
        <is>
          <t>W</t>
        </is>
      </c>
      <c r="I81" s="48" t="inlineStr">
        <is>
          <t>Good Start</t>
        </is>
      </c>
      <c r="J81" s="48" t="inlineStr">
        <is>
          <t>TCGLive</t>
        </is>
      </c>
      <c r="K81" s="48" t="n"/>
      <c r="L81" s="25">
        <f>IF(D81="","",IF(H81="W",1,IF(H81="L",0,"")))</f>
        <v/>
      </c>
      <c r="M81" s="25">
        <f>IF(D81="","",COUNTIFS($D$2:D81,D81))</f>
        <v/>
      </c>
      <c r="N81" s="25">
        <f>IF(D81="","",D81&amp;"|"&amp;M81)</f>
        <v/>
      </c>
      <c r="O81" s="25">
        <f>IF(D81="","",COUNTIFS($D$2:D81,D81,$H$2:H81,"W"))</f>
        <v/>
      </c>
      <c r="P81" s="26">
        <f>IF(D81="","",IFERROR(O81/M81,""))</f>
        <v/>
      </c>
      <c r="Q81" s="25">
        <f>IF(G81="","",IF(G81=1,"1°","2°"))</f>
        <v/>
      </c>
      <c r="R81" s="25">
        <f>IF(B81="","",TEXT(B81,"mmm-yyyy"))</f>
        <v/>
      </c>
    </row>
    <row r="82" ht="15.75" customHeight="1" s="54">
      <c r="A82" s="44" t="n">
        <v>81</v>
      </c>
      <c r="B82" s="42" t="n">
        <v>46254</v>
      </c>
      <c r="C82" s="44" t="inlineStr">
        <is>
          <t>TEF-PBL</t>
        </is>
      </c>
      <c r="D82" s="44" t="inlineStr">
        <is>
          <t>Dragapult ex Blaziken ex</t>
        </is>
      </c>
      <c r="E82" s="44" t="inlineStr">
        <is>
          <t>Dragapolli v3</t>
        </is>
      </c>
      <c r="F82" s="44" t="inlineStr">
        <is>
          <t>Dragapult ex Blaziken ex</t>
        </is>
      </c>
      <c r="G82" s="44" t="n">
        <v>2</v>
      </c>
      <c r="H82" s="44" t="inlineStr">
        <is>
          <t>L</t>
        </is>
      </c>
      <c r="I82" s="44" t="n"/>
      <c r="J82" s="44" t="inlineStr">
        <is>
          <t>TCGLive</t>
        </is>
      </c>
      <c r="K82" s="44" t="n"/>
      <c r="L82" s="20">
        <f>IF(D82="","",IF(H82="W",1,IF(H82="L",0,"")))</f>
        <v/>
      </c>
      <c r="M82" s="20">
        <f>IF(D82="","",COUNTIFS($D$2:D82,D82))</f>
        <v/>
      </c>
      <c r="N82" s="20">
        <f>IF(D82="","",D82&amp;"|"&amp;M82)</f>
        <v/>
      </c>
      <c r="O82" s="20">
        <f>IF(D82="","",COUNTIFS($D$2:D82,D82,$H$2:H82,"W"))</f>
        <v/>
      </c>
      <c r="P82" s="22">
        <f>IF(D82="","",IFERROR(O82/M82,""))</f>
        <v/>
      </c>
      <c r="Q82" s="20">
        <f>IF(G82="","",IF(G82=1,"1°","2°"))</f>
        <v/>
      </c>
      <c r="R82" s="20">
        <f>IF(B82="","",TEXT(B82,"mmm-yyyy"))</f>
        <v/>
      </c>
    </row>
    <row r="83" ht="15.75" customHeight="1" s="54">
      <c r="A83" s="48" t="n">
        <v>82</v>
      </c>
      <c r="B83" s="24" t="n">
        <v>46254</v>
      </c>
      <c r="C83" s="48" t="inlineStr">
        <is>
          <t>TEF-PBL</t>
        </is>
      </c>
      <c r="D83" s="48" t="inlineStr">
        <is>
          <t>Dragapult ex Blaziken ex</t>
        </is>
      </c>
      <c r="E83" s="48" t="inlineStr">
        <is>
          <t>Dragapolli v3</t>
        </is>
      </c>
      <c r="F83" s="48" t="inlineStr">
        <is>
          <t>Hydrapple ex Ogerpon ex</t>
        </is>
      </c>
      <c r="G83" s="48" t="n">
        <v>2</v>
      </c>
      <c r="H83" s="48" t="inlineStr">
        <is>
          <t>W</t>
        </is>
      </c>
      <c r="I83" s="48" t="n"/>
      <c r="J83" s="48" t="inlineStr">
        <is>
          <t>TCGLive</t>
        </is>
      </c>
      <c r="K83" s="48" t="n"/>
      <c r="L83" s="25">
        <f>IF(D83="","",IF(H83="W",1,IF(H83="L",0,"")))</f>
        <v/>
      </c>
      <c r="M83" s="25">
        <f>IF(D83="","",COUNTIFS($D$2:D83,D83))</f>
        <v/>
      </c>
      <c r="N83" s="25">
        <f>IF(D83="","",D83&amp;"|"&amp;M83)</f>
        <v/>
      </c>
      <c r="O83" s="25">
        <f>IF(D83="","",COUNTIFS($D$2:D83,D83,$H$2:H83,"W"))</f>
        <v/>
      </c>
      <c r="P83" s="26">
        <f>IF(D83="","",IFERROR(O83/M83,""))</f>
        <v/>
      </c>
      <c r="Q83" s="25">
        <f>IF(G83="","",IF(G83=1,"1°","2°"))</f>
        <v/>
      </c>
      <c r="R83" s="25">
        <f>IF(B83="","",TEXT(B83,"mmm-yyyy"))</f>
        <v/>
      </c>
    </row>
    <row r="84" ht="15.75" customHeight="1" s="54">
      <c r="A84" s="44" t="n">
        <v>83</v>
      </c>
      <c r="B84" s="42" t="n">
        <v>46254</v>
      </c>
      <c r="C84" s="44" t="inlineStr">
        <is>
          <t>TEF-PBL</t>
        </is>
      </c>
      <c r="D84" s="44" t="inlineStr">
        <is>
          <t>Dragapult ex Blaziken ex</t>
        </is>
      </c>
      <c r="E84" s="44" t="inlineStr">
        <is>
          <t>Dragapolli v3</t>
        </is>
      </c>
      <c r="F84" s="44" t="inlineStr">
        <is>
          <t>MegaKangaskhan ex Bouffalant</t>
        </is>
      </c>
      <c r="G84" s="44" t="n">
        <v>1</v>
      </c>
      <c r="H84" s="44" t="inlineStr">
        <is>
          <t>W</t>
        </is>
      </c>
      <c r="I84" s="44" t="n"/>
      <c r="J84" s="44" t="inlineStr">
        <is>
          <t>TCGLive</t>
        </is>
      </c>
      <c r="K84" s="44" t="n"/>
      <c r="L84" s="20">
        <f>IF(D84="","",IF(H84="W",1,IF(H84="L",0,"")))</f>
        <v/>
      </c>
      <c r="M84" s="20">
        <f>IF(D84="","",COUNTIFS($D$2:D84,D84))</f>
        <v/>
      </c>
      <c r="N84" s="20">
        <f>IF(D84="","",D84&amp;"|"&amp;M84)</f>
        <v/>
      </c>
      <c r="O84" s="20">
        <f>IF(D84="","",COUNTIFS($D$2:D84,D84,$H$2:H84,"W"))</f>
        <v/>
      </c>
      <c r="P84" s="22">
        <f>IF(D84="","",IFERROR(O84/M84,""))</f>
        <v/>
      </c>
      <c r="Q84" s="20">
        <f>IF(G84="","",IF(G84=1,"1°","2°"))</f>
        <v/>
      </c>
      <c r="R84" s="20">
        <f>IF(B84="","",TEXT(B84,"mmm-yyyy"))</f>
        <v/>
      </c>
    </row>
    <row r="85" ht="15.75" customHeight="1" s="54">
      <c r="A85" s="48" t="n">
        <v>84</v>
      </c>
      <c r="B85" s="24" t="n">
        <v>46256</v>
      </c>
      <c r="C85" s="48" t="inlineStr">
        <is>
          <t>TEF-PBL</t>
        </is>
      </c>
      <c r="D85" s="48" t="inlineStr">
        <is>
          <t>Dragapult ex Blaziken ex</t>
        </is>
      </c>
      <c r="E85" s="48" t="inlineStr">
        <is>
          <t>Dragapolli v1</t>
        </is>
      </c>
      <c r="F85" s="48" t="inlineStr">
        <is>
          <t>Raging Bolt</t>
        </is>
      </c>
      <c r="G85" s="48" t="n">
        <v>2</v>
      </c>
      <c r="H85" s="48" t="inlineStr">
        <is>
          <t>W</t>
        </is>
      </c>
      <c r="I85" s="48" t="n"/>
      <c r="J85" s="48" t="inlineStr">
        <is>
          <t>TCGLive</t>
        </is>
      </c>
      <c r="K85" s="48" t="n"/>
      <c r="L85" s="25">
        <f>IF(D85="","",IF(H85="W",1,IF(H85="L",0,"")))</f>
        <v/>
      </c>
      <c r="M85" s="25">
        <f>IF(D85="","",COUNTIFS($D$2:D85,D85))</f>
        <v/>
      </c>
      <c r="N85" s="25">
        <f>IF(D85="","",D85&amp;"|"&amp;M85)</f>
        <v/>
      </c>
      <c r="O85" s="25">
        <f>IF(D85="","",COUNTIFS($D$2:D85,D85,$H$2:H85,"W"))</f>
        <v/>
      </c>
      <c r="P85" s="26">
        <f>IF(D85="","",IFERROR(O85/M85,""))</f>
        <v/>
      </c>
      <c r="Q85" s="25">
        <f>IF(G85="","",IF(G85=1,"1°","2°"))</f>
        <v/>
      </c>
      <c r="R85" s="25">
        <f>IF(B85="","",TEXT(B85,"mmm-yyyy"))</f>
        <v/>
      </c>
    </row>
    <row r="86" ht="15.75" customHeight="1" s="54">
      <c r="A86" s="44" t="n">
        <v>85</v>
      </c>
      <c r="B86" s="42" t="n">
        <v>46256</v>
      </c>
      <c r="C86" s="44" t="inlineStr">
        <is>
          <t>TEF-PBL</t>
        </is>
      </c>
      <c r="D86" s="44" t="inlineStr">
        <is>
          <t>Dragapult ex Blaziken ex</t>
        </is>
      </c>
      <c r="E86" s="44" t="inlineStr">
        <is>
          <t>Dragapolli v1</t>
        </is>
      </c>
      <c r="F86" s="44" t="inlineStr">
        <is>
          <t>Alakazam Dudunsparce</t>
        </is>
      </c>
      <c r="G86" s="44" t="n">
        <v>2</v>
      </c>
      <c r="H86" s="44" t="inlineStr">
        <is>
          <t>W</t>
        </is>
      </c>
      <c r="I86" s="44" t="n"/>
      <c r="J86" s="44" t="inlineStr">
        <is>
          <t>TCGLive</t>
        </is>
      </c>
      <c r="K86" s="44" t="n"/>
      <c r="L86" s="20">
        <f>IF(D86="","",IF(H86="W",1,IF(H86="L",0,"")))</f>
        <v/>
      </c>
      <c r="M86" s="20">
        <f>IF(D86="","",COUNTIFS($D$2:D86,D86))</f>
        <v/>
      </c>
      <c r="N86" s="20">
        <f>IF(D86="","",D86&amp;"|"&amp;M86)</f>
        <v/>
      </c>
      <c r="O86" s="20">
        <f>IF(D86="","",COUNTIFS($D$2:D86,D86,$H$2:H86,"W"))</f>
        <v/>
      </c>
      <c r="P86" s="22">
        <f>IF(D86="","",IFERROR(O86/M86,""))</f>
        <v/>
      </c>
      <c r="Q86" s="20">
        <f>IF(G86="","",IF(G86=1,"1°","2°"))</f>
        <v/>
      </c>
      <c r="R86" s="20">
        <f>IF(B86="","",TEXT(B86,"mmm-yyyy"))</f>
        <v/>
      </c>
    </row>
    <row r="87" ht="15.75" customHeight="1" s="54">
      <c r="A87" s="48" t="n">
        <v>86</v>
      </c>
      <c r="B87" s="24" t="n">
        <v>46256</v>
      </c>
      <c r="C87" s="48" t="inlineStr">
        <is>
          <t>TEF-PBL</t>
        </is>
      </c>
      <c r="D87" s="48" t="inlineStr">
        <is>
          <t>Dragapult ex Blaziken ex</t>
        </is>
      </c>
      <c r="E87" s="48" t="inlineStr">
        <is>
          <t>Dragapolli v1</t>
        </is>
      </c>
      <c r="F87" s="48" t="inlineStr">
        <is>
          <t>Dragapult ex</t>
        </is>
      </c>
      <c r="G87" s="48" t="n">
        <v>1</v>
      </c>
      <c r="H87" s="48" t="inlineStr">
        <is>
          <t>W</t>
        </is>
      </c>
      <c r="I87" s="48" t="n"/>
      <c r="J87" s="48" t="inlineStr">
        <is>
          <t>TCGLive</t>
        </is>
      </c>
      <c r="K87" s="48" t="n"/>
      <c r="L87" s="25">
        <f>IF(D87="","",IF(H87="W",1,IF(H87="L",0,"")))</f>
        <v/>
      </c>
      <c r="M87" s="25">
        <f>IF(D87="","",COUNTIFS($D$2:D87,D87))</f>
        <v/>
      </c>
      <c r="N87" s="25">
        <f>IF(D87="","",D87&amp;"|"&amp;M87)</f>
        <v/>
      </c>
      <c r="O87" s="25">
        <f>IF(D87="","",COUNTIFS($D$2:D87,D87,$H$2:H87,"W"))</f>
        <v/>
      </c>
      <c r="P87" s="26">
        <f>IF(D87="","",IFERROR(O87/M87,""))</f>
        <v/>
      </c>
      <c r="Q87" s="25">
        <f>IF(G87="","",IF(G87=1,"1°","2°"))</f>
        <v/>
      </c>
      <c r="R87" s="25">
        <f>IF(B87="","",TEXT(B87,"mmm-yyyy"))</f>
        <v/>
      </c>
    </row>
    <row r="88" ht="15.75" customHeight="1" s="54">
      <c r="A88" s="44" t="n">
        <v>87</v>
      </c>
      <c r="B88" s="42" t="n">
        <v>46256</v>
      </c>
      <c r="C88" s="44" t="inlineStr">
        <is>
          <t>TEF-PBL</t>
        </is>
      </c>
      <c r="D88" s="44" t="inlineStr">
        <is>
          <t>Dragapult ex Blaziken ex</t>
        </is>
      </c>
      <c r="E88" s="44" t="inlineStr">
        <is>
          <t>Dragapolli v1</t>
        </is>
      </c>
      <c r="F88" s="44" t="inlineStr">
        <is>
          <t>Dhelmise Banette</t>
        </is>
      </c>
      <c r="G88" s="44" t="n">
        <v>2</v>
      </c>
      <c r="H88" s="44" t="inlineStr">
        <is>
          <t>W</t>
        </is>
      </c>
      <c r="I88" s="44" t="n"/>
      <c r="J88" s="44" t="inlineStr">
        <is>
          <t>TCGLive</t>
        </is>
      </c>
      <c r="K88" s="44" t="n"/>
      <c r="L88" s="20">
        <f>IF(D88="","",IF(H88="W",1,IF(H88="L",0,"")))</f>
        <v/>
      </c>
      <c r="M88" s="20">
        <f>IF(D88="","",COUNTIFS($D$2:D88,D88))</f>
        <v/>
      </c>
      <c r="N88" s="20">
        <f>IF(D88="","",D88&amp;"|"&amp;M88)</f>
        <v/>
      </c>
      <c r="O88" s="20">
        <f>IF(D88="","",COUNTIFS($D$2:D88,D88,$H$2:H88,"W"))</f>
        <v/>
      </c>
      <c r="P88" s="22">
        <f>IF(D88="","",IFERROR(O88/M88,""))</f>
        <v/>
      </c>
      <c r="Q88" s="20">
        <f>IF(G88="","",IF(G88=1,"1°","2°"))</f>
        <v/>
      </c>
      <c r="R88" s="20">
        <f>IF(B88="","",TEXT(B88,"mmm-yyyy"))</f>
        <v/>
      </c>
    </row>
    <row r="89" ht="15.75" customHeight="1" s="54">
      <c r="A89" s="48" t="n">
        <v>88</v>
      </c>
      <c r="B89" s="24" t="n">
        <v>46256</v>
      </c>
      <c r="C89" s="48" t="inlineStr">
        <is>
          <t>TEF-PBL</t>
        </is>
      </c>
      <c r="D89" s="48" t="inlineStr">
        <is>
          <t>Dragapult ex Blaziken ex</t>
        </is>
      </c>
      <c r="E89" s="48" t="inlineStr">
        <is>
          <t>Dragapolli v1</t>
        </is>
      </c>
      <c r="F89" s="48" t="inlineStr">
        <is>
          <t>Toucannon Dusknoir</t>
        </is>
      </c>
      <c r="G89" s="48" t="n">
        <v>2</v>
      </c>
      <c r="H89" s="48" t="inlineStr">
        <is>
          <t>W</t>
        </is>
      </c>
      <c r="I89" s="48" t="n"/>
      <c r="J89" s="48" t="inlineStr">
        <is>
          <t>TCGLive</t>
        </is>
      </c>
      <c r="K89" s="48" t="n"/>
      <c r="L89" s="25">
        <f>IF(D89="","",IF(H89="W",1,IF(H89="L",0,"")))</f>
        <v/>
      </c>
      <c r="M89" s="25">
        <f>IF(D89="","",COUNTIFS($D$2:D89,D89))</f>
        <v/>
      </c>
      <c r="N89" s="25">
        <f>IF(D89="","",D89&amp;"|"&amp;M89)</f>
        <v/>
      </c>
      <c r="O89" s="25">
        <f>IF(D89="","",COUNTIFS($D$2:D89,D89,$H$2:H89,"W"))</f>
        <v/>
      </c>
      <c r="P89" s="26">
        <f>IF(D89="","",IFERROR(O89/M89,""))</f>
        <v/>
      </c>
      <c r="Q89" s="25">
        <f>IF(G89="","",IF(G89=1,"1°","2°"))</f>
        <v/>
      </c>
      <c r="R89" s="25">
        <f>IF(B89="","",TEXT(B89,"mmm-yyyy"))</f>
        <v/>
      </c>
    </row>
    <row r="90" ht="15.75" customHeight="1" s="54">
      <c r="A90" s="44" t="n">
        <v>89</v>
      </c>
      <c r="B90" s="42" t="n">
        <v>46256</v>
      </c>
      <c r="C90" s="44" t="inlineStr">
        <is>
          <t>TEF-PBL</t>
        </is>
      </c>
      <c r="D90" s="44" t="inlineStr">
        <is>
          <t>Dragapult ex Blaziken ex</t>
        </is>
      </c>
      <c r="E90" s="44" t="inlineStr">
        <is>
          <t>Dragapolli v1</t>
        </is>
      </c>
      <c r="F90" s="44" t="inlineStr">
        <is>
          <t>Dragapult ex</t>
        </is>
      </c>
      <c r="G90" s="44" t="n">
        <v>2</v>
      </c>
      <c r="H90" s="44" t="inlineStr">
        <is>
          <t>L</t>
        </is>
      </c>
      <c r="I90" s="44" t="inlineStr">
        <is>
          <t>Bad Start</t>
        </is>
      </c>
      <c r="J90" s="44" t="inlineStr">
        <is>
          <t>TCGLive</t>
        </is>
      </c>
      <c r="K90" s="44" t="n"/>
      <c r="L90" s="20">
        <f>IF(D90="","",IF(H90="W",1,IF(H90="L",0,"")))</f>
        <v/>
      </c>
      <c r="M90" s="20">
        <f>IF(D90="","",COUNTIFS($D$2:D90,D90))</f>
        <v/>
      </c>
      <c r="N90" s="20">
        <f>IF(D90="","",D90&amp;"|"&amp;M90)</f>
        <v/>
      </c>
      <c r="O90" s="20">
        <f>IF(D90="","",COUNTIFS($D$2:D90,D90,$H$2:H90,"W"))</f>
        <v/>
      </c>
      <c r="P90" s="22">
        <f>IF(D90="","",IFERROR(O90/M90,""))</f>
        <v/>
      </c>
      <c r="Q90" s="20">
        <f>IF(G90="","",IF(G90=1,"1°","2°"))</f>
        <v/>
      </c>
      <c r="R90" s="20">
        <f>IF(B90="","",TEXT(B90,"mmm-yyyy"))</f>
        <v/>
      </c>
    </row>
    <row r="91" ht="15.75" customHeight="1" s="54">
      <c r="A91" s="48" t="n">
        <v>90</v>
      </c>
      <c r="B91" s="24" t="n">
        <v>46256</v>
      </c>
      <c r="C91" s="48" t="inlineStr">
        <is>
          <t>TEF-PBL</t>
        </is>
      </c>
      <c r="D91" s="48" t="inlineStr">
        <is>
          <t>Dragapult ex Blaziken ex</t>
        </is>
      </c>
      <c r="E91" s="48" t="inlineStr">
        <is>
          <t>Dragapolli v1</t>
        </is>
      </c>
      <c r="F91" s="48" t="inlineStr">
        <is>
          <t>Clafairy ex</t>
        </is>
      </c>
      <c r="G91" s="48" t="n">
        <v>2</v>
      </c>
      <c r="H91" s="48" t="inlineStr">
        <is>
          <t>L</t>
        </is>
      </c>
      <c r="I91" s="48" t="n"/>
      <c r="J91" s="48" t="inlineStr">
        <is>
          <t>TCGLive</t>
        </is>
      </c>
      <c r="K91" s="48" t="inlineStr">
        <is>
          <t>Soffre timbro senza prendere ko</t>
        </is>
      </c>
      <c r="L91" s="25">
        <f>IF(D91="","",IF(H91="W",1,IF(H91="L",0,"")))</f>
        <v/>
      </c>
      <c r="M91" s="25">
        <f>IF(D91="","",COUNTIFS($D$2:D91,D91))</f>
        <v/>
      </c>
      <c r="N91" s="25">
        <f>IF(D91="","",D91&amp;"|"&amp;M91)</f>
        <v/>
      </c>
      <c r="O91" s="25">
        <f>IF(D91="","",COUNTIFS($D$2:D91,D91,$H$2:H91,"W"))</f>
        <v/>
      </c>
      <c r="P91" s="26">
        <f>IF(D91="","",IFERROR(O91/M91,""))</f>
        <v/>
      </c>
      <c r="Q91" s="25">
        <f>IF(G91="","",IF(G91=1,"1°","2°"))</f>
        <v/>
      </c>
      <c r="R91" s="25">
        <f>IF(B91="","",TEXT(B91,"mmm-yyyy"))</f>
        <v/>
      </c>
    </row>
    <row r="92" ht="15.75" customHeight="1" s="54">
      <c r="A92" s="44" t="n">
        <v>91</v>
      </c>
      <c r="B92" s="42" t="n">
        <v>46256</v>
      </c>
      <c r="C92" s="44" t="inlineStr">
        <is>
          <t>TEF-PBL</t>
        </is>
      </c>
      <c r="D92" s="44" t="inlineStr">
        <is>
          <t>Dragapult ex Blaziken ex</t>
        </is>
      </c>
      <c r="E92" s="44" t="inlineStr">
        <is>
          <t>Dragapolli v1</t>
        </is>
      </c>
      <c r="F92" s="44" t="inlineStr">
        <is>
          <t>Alakazam Dudunsparce</t>
        </is>
      </c>
      <c r="G92" s="44" t="n">
        <v>2</v>
      </c>
      <c r="H92" s="44" t="inlineStr">
        <is>
          <t>W</t>
        </is>
      </c>
      <c r="I92" s="44" t="n"/>
      <c r="J92" s="44" t="inlineStr">
        <is>
          <t>TCGLive</t>
        </is>
      </c>
      <c r="K92" s="44" t="n"/>
      <c r="L92" s="20">
        <f>IF(D92="","",IF(H92="W",1,IF(H92="L",0,"")))</f>
        <v/>
      </c>
      <c r="M92" s="20">
        <f>IF(D92="","",COUNTIFS($D$2:D92,D92))</f>
        <v/>
      </c>
      <c r="N92" s="20">
        <f>IF(D92="","",D92&amp;"|"&amp;M92)</f>
        <v/>
      </c>
      <c r="O92" s="20">
        <f>IF(D92="","",COUNTIFS($D$2:D92,D92,$H$2:H92,"W"))</f>
        <v/>
      </c>
      <c r="P92" s="22">
        <f>IF(D92="","",IFERROR(O92/M92,""))</f>
        <v/>
      </c>
      <c r="Q92" s="20">
        <f>IF(G92="","",IF(G92=1,"1°","2°"))</f>
        <v/>
      </c>
      <c r="R92" s="20">
        <f>IF(B92="","",TEXT(B92,"mmm-yyyy"))</f>
        <v/>
      </c>
    </row>
    <row r="93" ht="15.75" customHeight="1" s="54">
      <c r="A93" s="48" t="n">
        <v>92</v>
      </c>
      <c r="B93" s="24" t="n">
        <v>46256</v>
      </c>
      <c r="C93" s="48" t="inlineStr">
        <is>
          <t>TEF-PBL</t>
        </is>
      </c>
      <c r="D93" s="48" t="inlineStr">
        <is>
          <t>Dragapult ex Blaziken ex</t>
        </is>
      </c>
      <c r="E93" s="48" t="inlineStr">
        <is>
          <t>Dragapolli v1</t>
        </is>
      </c>
      <c r="F93" s="48" t="inlineStr">
        <is>
          <t>Raging Bolt</t>
        </is>
      </c>
      <c r="G93" s="48" t="n">
        <v>2</v>
      </c>
      <c r="H93" s="48" t="inlineStr">
        <is>
          <t>L</t>
        </is>
      </c>
      <c r="I93" s="48" t="n"/>
      <c r="J93" s="48" t="inlineStr">
        <is>
          <t>TCGLive</t>
        </is>
      </c>
      <c r="K93" s="48" t="n"/>
      <c r="L93" s="25">
        <f>IF(D93="","",IF(H93="W",1,IF(H93="L",0,"")))</f>
        <v/>
      </c>
      <c r="M93" s="25">
        <f>IF(D93="","",COUNTIFS($D$2:D93,D93))</f>
        <v/>
      </c>
      <c r="N93" s="25">
        <f>IF(D93="","",D93&amp;"|"&amp;M93)</f>
        <v/>
      </c>
      <c r="O93" s="25">
        <f>IF(D93="","",COUNTIFS($D$2:D93,D93,$H$2:H93,"W"))</f>
        <v/>
      </c>
      <c r="P93" s="26">
        <f>IF(D93="","",IFERROR(O93/M93,""))</f>
        <v/>
      </c>
      <c r="Q93" s="25">
        <f>IF(G93="","",IF(G93=1,"1°","2°"))</f>
        <v/>
      </c>
      <c r="R93" s="25">
        <f>IF(B93="","",TEXT(B93,"mmm-yyyy"))</f>
        <v/>
      </c>
    </row>
    <row r="94" ht="15.75" customHeight="1" s="54">
      <c r="A94" s="44" t="n">
        <v>93</v>
      </c>
      <c r="B94" s="42" t="n">
        <v>46256</v>
      </c>
      <c r="C94" s="44" t="inlineStr">
        <is>
          <t>TEF-PBL</t>
        </is>
      </c>
      <c r="D94" s="44" t="inlineStr">
        <is>
          <t>Dragapult ex Blaziken ex</t>
        </is>
      </c>
      <c r="E94" s="44" t="inlineStr">
        <is>
          <t>Dragapolli v1</t>
        </is>
      </c>
      <c r="F94" s="44" t="inlineStr">
        <is>
          <t>Alakazam Dudunsparce</t>
        </is>
      </c>
      <c r="G94" s="44" t="n">
        <v>2</v>
      </c>
      <c r="H94" s="44" t="inlineStr">
        <is>
          <t>W</t>
        </is>
      </c>
      <c r="I94" s="44" t="n"/>
      <c r="J94" s="44" t="inlineStr">
        <is>
          <t>TCGLive</t>
        </is>
      </c>
      <c r="K94" s="44" t="n"/>
      <c r="L94" s="20">
        <f>IF(D94="","",IF(H94="W",1,IF(H94="L",0,"")))</f>
        <v/>
      </c>
      <c r="M94" s="20">
        <f>IF(D94="","",COUNTIFS($D$2:D94,D94))</f>
        <v/>
      </c>
      <c r="N94" s="20">
        <f>IF(D94="","",D94&amp;"|"&amp;M94)</f>
        <v/>
      </c>
      <c r="O94" s="20">
        <f>IF(D94="","",COUNTIFS($D$2:D94,D94,$H$2:H94,"W"))</f>
        <v/>
      </c>
      <c r="P94" s="22">
        <f>IF(D94="","",IFERROR(O94/M94,""))</f>
        <v/>
      </c>
      <c r="Q94" s="20">
        <f>IF(G94="","",IF(G94=1,"1°","2°"))</f>
        <v/>
      </c>
      <c r="R94" s="20">
        <f>IF(B94="","",TEXT(B94,"mmm-yyyy"))</f>
        <v/>
      </c>
    </row>
    <row r="95" ht="15.75" customHeight="1" s="54">
      <c r="A95" s="48" t="n">
        <v>94</v>
      </c>
      <c r="B95" s="24" t="n">
        <v>46256</v>
      </c>
      <c r="C95" s="48" t="inlineStr">
        <is>
          <t>TEF-PBL</t>
        </is>
      </c>
      <c r="D95" s="48" t="inlineStr">
        <is>
          <t>Dragapult ex Blaziken ex</t>
        </is>
      </c>
      <c r="E95" s="48" t="inlineStr">
        <is>
          <t>Dragapolli v1</t>
        </is>
      </c>
      <c r="F95" s="48" t="inlineStr">
        <is>
          <t>MegaLopunny ex</t>
        </is>
      </c>
      <c r="G95" s="48" t="n">
        <v>2</v>
      </c>
      <c r="H95" s="48" t="inlineStr">
        <is>
          <t>W</t>
        </is>
      </c>
      <c r="I95" s="48" t="n"/>
      <c r="J95" s="48" t="inlineStr">
        <is>
          <t>TCGLive</t>
        </is>
      </c>
      <c r="K95" s="48" t="inlineStr">
        <is>
          <t>Ottima la torre dopo lo stamp, attento a lino</t>
        </is>
      </c>
      <c r="L95" s="25">
        <f>IF(D95="","",IF(H95="W",1,IF(H95="L",0,"")))</f>
        <v/>
      </c>
      <c r="M95" s="25">
        <f>IF(D95="","",COUNTIFS($D$2:D95,D95))</f>
        <v/>
      </c>
      <c r="N95" s="25">
        <f>IF(D95="","",D95&amp;"|"&amp;M95)</f>
        <v/>
      </c>
      <c r="O95" s="25">
        <f>IF(D95="","",COUNTIFS($D$2:D95,D95,$H$2:H95,"W"))</f>
        <v/>
      </c>
      <c r="P95" s="26">
        <f>IF(D95="","",IFERROR(O95/M95,""))</f>
        <v/>
      </c>
      <c r="Q95" s="25">
        <f>IF(G95="","",IF(G95=1,"1°","2°"))</f>
        <v/>
      </c>
      <c r="R95" s="25">
        <f>IF(B95="","",TEXT(B95,"mmm-yyyy"))</f>
        <v/>
      </c>
    </row>
    <row r="96" ht="15.75" customHeight="1" s="54">
      <c r="A96" s="44" t="n">
        <v>95</v>
      </c>
      <c r="B96" s="42" t="n">
        <v>46256</v>
      </c>
      <c r="C96" s="44" t="inlineStr">
        <is>
          <t>TEF-PBL</t>
        </is>
      </c>
      <c r="D96" s="44" t="inlineStr">
        <is>
          <t>Dragapult ex Blaziken ex</t>
        </is>
      </c>
      <c r="E96" s="44" t="inlineStr">
        <is>
          <t>Dragapolli v3</t>
        </is>
      </c>
      <c r="F96" s="44" t="inlineStr">
        <is>
          <t>Dragapult ex</t>
        </is>
      </c>
      <c r="G96" s="44" t="n">
        <v>2</v>
      </c>
      <c r="H96" s="44" t="inlineStr">
        <is>
          <t>L</t>
        </is>
      </c>
      <c r="I96" s="44" t="inlineStr">
        <is>
          <t>Bad Start</t>
        </is>
      </c>
      <c r="J96" s="44" t="n"/>
      <c r="K96" s="44" t="inlineStr">
        <is>
          <t>Valuta attaccare di munkidori se non riesci di pult</t>
        </is>
      </c>
      <c r="L96" s="20">
        <f>IF(D96="","",IF(H96="W",1,IF(H96="L",0,"")))</f>
        <v/>
      </c>
      <c r="M96" s="20">
        <f>IF(D96="","",COUNTIFS($D$2:D96,D96))</f>
        <v/>
      </c>
      <c r="N96" s="20">
        <f>IF(D96="","",D96&amp;"|"&amp;M96)</f>
        <v/>
      </c>
      <c r="O96" s="20">
        <f>IF(D96="","",COUNTIFS($D$2:D96,D96,$H$2:H96,"W"))</f>
        <v/>
      </c>
      <c r="P96" s="46">
        <f>IF(D96="","",IFERROR(O96/M96,""))</f>
        <v/>
      </c>
      <c r="Q96" s="20">
        <f>IF(G96="","",IF(G96=1,"1°","2°"))</f>
        <v/>
      </c>
      <c r="R96" s="20">
        <f>IF(B96="","",TEXT(B96,"mmm-yyyy"))</f>
        <v/>
      </c>
      <c r="S96" s="48" t="n"/>
      <c r="T96" s="48" t="n"/>
      <c r="U96" s="48" t="n"/>
      <c r="V96" s="48" t="n"/>
      <c r="W96" s="48" t="n"/>
      <c r="X96" s="48" t="n"/>
      <c r="Y96" s="48" t="n"/>
    </row>
    <row r="97" ht="15.75" customHeight="1" s="54">
      <c r="A97" s="48" t="n">
        <v>96</v>
      </c>
      <c r="B97" s="24" t="n">
        <v>46257</v>
      </c>
      <c r="C97" s="48" t="inlineStr">
        <is>
          <t>TEF-PBL</t>
        </is>
      </c>
      <c r="D97" s="48" t="inlineStr">
        <is>
          <t>Dragapult ex Blaziken ex</t>
        </is>
      </c>
      <c r="E97" s="48" t="inlineStr">
        <is>
          <t>Dragapolli v1</t>
        </is>
      </c>
      <c r="F97" s="48" t="inlineStr">
        <is>
          <t>MegaLucario ex</t>
        </is>
      </c>
      <c r="G97" s="48" t="n">
        <v>2</v>
      </c>
      <c r="H97" s="48" t="inlineStr">
        <is>
          <t>L</t>
        </is>
      </c>
      <c r="I97" s="48" t="inlineStr">
        <is>
          <t>Bad Start</t>
        </is>
      </c>
      <c r="J97" s="48" t="inlineStr">
        <is>
          <t>TCGLive</t>
        </is>
      </c>
      <c r="K97" s="48" t="n"/>
      <c r="L97" s="25">
        <f>IF(D97="","",IF(H97="W",1,IF(H97="L",0,"")))</f>
        <v/>
      </c>
      <c r="M97" s="25">
        <f>IF(D97="","",COUNTIFS($D$2:D97,D97))</f>
        <v/>
      </c>
      <c r="N97" s="25">
        <f>IF(D97="","",D97&amp;"|"&amp;M97)</f>
        <v/>
      </c>
      <c r="O97" s="25">
        <f>IF(D97="","",COUNTIFS($D$2:D97,D97,$H$2:H97,"W"))</f>
        <v/>
      </c>
      <c r="P97" s="26">
        <f>IF(D97="","",IFERROR(O97/M97,""))</f>
        <v/>
      </c>
      <c r="Q97" s="25">
        <f>IF(G97="","",IF(G97=1,"1°","2°"))</f>
        <v/>
      </c>
      <c r="R97" s="25">
        <f>IF(B97="","",TEXT(B97,"mmm-yyyy"))</f>
        <v/>
      </c>
    </row>
    <row r="98" ht="15.75" customHeight="1" s="54">
      <c r="A98" s="44" t="n">
        <v>97</v>
      </c>
      <c r="B98" s="42" t="n">
        <v>46257</v>
      </c>
      <c r="C98" s="44" t="inlineStr">
        <is>
          <t>TEF-PBL</t>
        </is>
      </c>
      <c r="D98" s="44" t="inlineStr">
        <is>
          <t>Dragapult ex Blaziken ex</t>
        </is>
      </c>
      <c r="E98" s="44" t="inlineStr">
        <is>
          <t>Dragapolli v1</t>
        </is>
      </c>
      <c r="F98" s="44" t="inlineStr">
        <is>
          <t>Area Della Festa</t>
        </is>
      </c>
      <c r="G98" s="44" t="n">
        <v>2</v>
      </c>
      <c r="H98" s="44" t="inlineStr">
        <is>
          <t>W</t>
        </is>
      </c>
      <c r="I98" s="44" t="n"/>
      <c r="J98" s="44" t="inlineStr">
        <is>
          <t>TCGLive</t>
        </is>
      </c>
      <c r="K98" s="44" t="n"/>
      <c r="L98" s="20">
        <f>IF(D98="","",IF(H98="W",1,IF(H98="L",0,"")))</f>
        <v/>
      </c>
      <c r="M98" s="20">
        <f>IF(D98="","",COUNTIFS($D$2:D98,D98))</f>
        <v/>
      </c>
      <c r="N98" s="20">
        <f>IF(D98="","",D98&amp;"|"&amp;M98)</f>
        <v/>
      </c>
      <c r="O98" s="20">
        <f>IF(D98="","",COUNTIFS($D$2:D98,D98,$H$2:H98,"W"))</f>
        <v/>
      </c>
      <c r="P98" s="22">
        <f>IF(D98="","",IFERROR(O98/M98,""))</f>
        <v/>
      </c>
      <c r="Q98" s="20">
        <f>IF(G98="","",IF(G98=1,"1°","2°"))</f>
        <v/>
      </c>
      <c r="R98" s="20">
        <f>IF(B98="","",TEXT(B98,"mmm-yyyy"))</f>
        <v/>
      </c>
    </row>
    <row r="99" ht="15.75" customHeight="1" s="54">
      <c r="A99" s="48" t="n">
        <v>98</v>
      </c>
      <c r="B99" s="24" t="n">
        <v>46257</v>
      </c>
      <c r="C99" s="48" t="inlineStr">
        <is>
          <t>TEF-PBL</t>
        </is>
      </c>
      <c r="D99" s="48" t="inlineStr">
        <is>
          <t>Dragapult ex Blaziken ex</t>
        </is>
      </c>
      <c r="E99" s="48" t="inlineStr">
        <is>
          <t>Dragapolli v1</t>
        </is>
      </c>
      <c r="F99" s="48" t="inlineStr">
        <is>
          <t>Dragapult ex</t>
        </is>
      </c>
      <c r="G99" s="48" t="n">
        <v>2</v>
      </c>
      <c r="H99" s="48" t="inlineStr">
        <is>
          <t>W</t>
        </is>
      </c>
      <c r="I99" s="48" t="n"/>
      <c r="J99" s="48" t="inlineStr">
        <is>
          <t>TCGLive</t>
        </is>
      </c>
      <c r="K99" s="48" t="n"/>
      <c r="L99" s="25">
        <f>IF(D99="","",IF(H99="W",1,IF(H99="L",0,"")))</f>
        <v/>
      </c>
      <c r="M99" s="25">
        <f>IF(D99="","",COUNTIFS($D$2:D99,D99))</f>
        <v/>
      </c>
      <c r="N99" s="25">
        <f>IF(D99="","",D99&amp;"|"&amp;M99)</f>
        <v/>
      </c>
      <c r="O99" s="25">
        <f>IF(D99="","",COUNTIFS($D$2:D99,D99,$H$2:H99,"W"))</f>
        <v/>
      </c>
      <c r="P99" s="26">
        <f>IF(D99="","",IFERROR(O99/M99,""))</f>
        <v/>
      </c>
      <c r="Q99" s="25">
        <f>IF(G99="","",IF(G99=1,"1°","2°"))</f>
        <v/>
      </c>
      <c r="R99" s="25">
        <f>IF(B99="","",TEXT(B99,"mmm-yyyy"))</f>
        <v/>
      </c>
    </row>
    <row r="100" ht="15.75" customHeight="1" s="54">
      <c r="A100" s="44" t="n">
        <v>99</v>
      </c>
      <c r="B100" s="42" t="n">
        <v>46257</v>
      </c>
      <c r="C100" s="44" t="inlineStr">
        <is>
          <t>TEF-PBL</t>
        </is>
      </c>
      <c r="D100" s="44" t="inlineStr">
        <is>
          <t>Dragapult ex Blaziken ex</t>
        </is>
      </c>
      <c r="E100" s="44" t="inlineStr">
        <is>
          <t>Dragapolli v1</t>
        </is>
      </c>
      <c r="F100" s="44" t="inlineStr">
        <is>
          <t>Slowking</t>
        </is>
      </c>
      <c r="G100" s="44" t="n">
        <v>2</v>
      </c>
      <c r="H100" s="44" t="inlineStr">
        <is>
          <t>W</t>
        </is>
      </c>
      <c r="I100" s="44" t="n"/>
      <c r="J100" s="44" t="inlineStr">
        <is>
          <t>TCGLive</t>
        </is>
      </c>
      <c r="K100" s="44" t="n"/>
      <c r="L100" s="20">
        <f>IF(D100="","",IF(H100="W",1,IF(H100="L",0,"")))</f>
        <v/>
      </c>
      <c r="M100" s="20">
        <f>IF(D100="","",COUNTIFS($D$2:D100,D100))</f>
        <v/>
      </c>
      <c r="N100" s="20">
        <f>IF(D100="","",D100&amp;"|"&amp;M100)</f>
        <v/>
      </c>
      <c r="O100" s="20">
        <f>IF(D100="","",COUNTIFS($D$2:D100,D100,$H$2:H100,"W"))</f>
        <v/>
      </c>
      <c r="P100" s="22">
        <f>IF(D100="","",IFERROR(O100/M100,""))</f>
        <v/>
      </c>
      <c r="Q100" s="20">
        <f>IF(G100="","",IF(G100=1,"1°","2°"))</f>
        <v/>
      </c>
      <c r="R100" s="20">
        <f>IF(B100="","",TEXT(B100,"mmm-yyyy"))</f>
        <v/>
      </c>
    </row>
    <row r="101" ht="15.75" customHeight="1" s="54">
      <c r="A101" s="48" t="n">
        <v>100</v>
      </c>
      <c r="B101" s="24" t="n">
        <v>46257</v>
      </c>
      <c r="C101" s="48" t="inlineStr">
        <is>
          <t>TEF-PBL</t>
        </is>
      </c>
      <c r="D101" s="48" t="inlineStr">
        <is>
          <t>Dragapult ex Blaziken ex</t>
        </is>
      </c>
      <c r="E101" s="48" t="inlineStr">
        <is>
          <t>Dragapolli v1</t>
        </is>
      </c>
      <c r="F101" s="48" t="inlineStr">
        <is>
          <t>MegaExcadrill ex</t>
        </is>
      </c>
      <c r="G101" s="48" t="n">
        <v>2</v>
      </c>
      <c r="H101" s="48" t="inlineStr">
        <is>
          <t>W</t>
        </is>
      </c>
      <c r="I101" s="48" t="n"/>
      <c r="J101" s="48" t="inlineStr">
        <is>
          <t>TCGLive</t>
        </is>
      </c>
      <c r="K101" s="48" t="n"/>
      <c r="L101" s="25">
        <f>IF(D101="","",IF(H101="W",1,IF(H101="L",0,"")))</f>
        <v/>
      </c>
      <c r="M101" s="25">
        <f>IF(D101="","",COUNTIFS($D$2:D101,D101))</f>
        <v/>
      </c>
      <c r="N101" s="25">
        <f>IF(D101="","",D101&amp;"|"&amp;M101)</f>
        <v/>
      </c>
      <c r="O101" s="25">
        <f>IF(D101="","",COUNTIFS($D$2:D101,D101,$H$2:H101,"W"))</f>
        <v/>
      </c>
      <c r="P101" s="26">
        <f>IF(D101="","",IFERROR(O101/M101,""))</f>
        <v/>
      </c>
      <c r="Q101" s="25">
        <f>IF(G101="","",IF(G101=1,"1°","2°"))</f>
        <v/>
      </c>
      <c r="R101" s="25">
        <f>IF(B101="","",TEXT(B101,"mmm-yyyy"))</f>
        <v/>
      </c>
    </row>
    <row r="102" ht="15.75" customHeight="1" s="54">
      <c r="A102" s="44" t="n">
        <v>101</v>
      </c>
      <c r="B102" s="42" t="n">
        <v>46260</v>
      </c>
      <c r="C102" s="44" t="inlineStr">
        <is>
          <t>TEF-PBL</t>
        </is>
      </c>
      <c r="D102" s="44" t="inlineStr">
        <is>
          <t>Dragapult ex Blaziken ex</t>
        </is>
      </c>
      <c r="E102" s="44" t="inlineStr">
        <is>
          <t>Dragapolli v2</t>
        </is>
      </c>
      <c r="F102" s="44" t="inlineStr">
        <is>
          <t>Dhelmise Banette</t>
        </is>
      </c>
      <c r="G102" s="44" t="n">
        <v>1</v>
      </c>
      <c r="H102" s="44" t="inlineStr">
        <is>
          <t>W</t>
        </is>
      </c>
      <c r="I102" s="44" t="n"/>
      <c r="J102" s="44" t="inlineStr">
        <is>
          <t>TCGLive</t>
        </is>
      </c>
      <c r="K102" s="44" t="inlineStr">
        <is>
          <t>Ti basta un turno dove fai doppio ko di rovine</t>
        </is>
      </c>
      <c r="L102" s="20">
        <f>IF(D102="","",IF(H102="W",1,IF(H102="L",0,"")))</f>
        <v/>
      </c>
      <c r="M102" s="20">
        <f>IF(D102="","",COUNTIFS($D$2:D102,D102))</f>
        <v/>
      </c>
      <c r="N102" s="20">
        <f>IF(D102="","",D102&amp;"|"&amp;M102)</f>
        <v/>
      </c>
      <c r="O102" s="20">
        <f>IF(D102="","",COUNTIFS($D$2:D102,D102,$H$2:H102,"W"))</f>
        <v/>
      </c>
      <c r="P102" s="22">
        <f>IF(D102="","",IFERROR(O102/M102,""))</f>
        <v/>
      </c>
      <c r="Q102" s="20">
        <f>IF(G102="","",IF(G102=1,"1°","2°"))</f>
        <v/>
      </c>
      <c r="R102" s="20">
        <f>IF(B102="","",TEXT(B102,"mmm-yyyy"))</f>
        <v/>
      </c>
    </row>
    <row r="103" ht="15.75" customHeight="1" s="54">
      <c r="A103" s="48" t="n">
        <v>102</v>
      </c>
      <c r="B103" s="24" t="n">
        <v>46260</v>
      </c>
      <c r="C103" s="48" t="inlineStr">
        <is>
          <t>TEF-PBL</t>
        </is>
      </c>
      <c r="D103" s="48" t="inlineStr">
        <is>
          <t>Dragapult ex Blaziken ex</t>
        </is>
      </c>
      <c r="E103" s="48" t="inlineStr">
        <is>
          <t>Dragapolli v2</t>
        </is>
      </c>
      <c r="F103" s="48" t="inlineStr">
        <is>
          <t>MegaExcadrill ex</t>
        </is>
      </c>
      <c r="G103" s="48" t="n">
        <v>2</v>
      </c>
      <c r="H103" s="48" t="inlineStr">
        <is>
          <t>W</t>
        </is>
      </c>
      <c r="I103" s="48" t="n"/>
      <c r="J103" s="48" t="inlineStr">
        <is>
          <t>TCGLive</t>
        </is>
      </c>
      <c r="K103" s="48" t="n"/>
      <c r="L103" s="25">
        <f>IF(D103="","",IF(H103="W",1,IF(H103="L",0,"")))</f>
        <v/>
      </c>
      <c r="M103" s="25">
        <f>IF(D103="","",COUNTIFS($D$2:D103,D103))</f>
        <v/>
      </c>
      <c r="N103" s="25">
        <f>IF(D103="","",D103&amp;"|"&amp;M103)</f>
        <v/>
      </c>
      <c r="O103" s="25">
        <f>IF(D103="","",COUNTIFS($D$2:D103,D103,$H$2:H103,"W"))</f>
        <v/>
      </c>
      <c r="P103" s="26">
        <f>IF(D103="","",IFERROR(O103/M103,""))</f>
        <v/>
      </c>
      <c r="Q103" s="25">
        <f>IF(G103="","",IF(G103=1,"1°","2°"))</f>
        <v/>
      </c>
      <c r="R103" s="25">
        <f>IF(B103="","",TEXT(B103,"mmm-yyyy"))</f>
        <v/>
      </c>
    </row>
    <row r="104" ht="15.75" customHeight="1" s="54">
      <c r="A104" s="44" t="n">
        <v>103</v>
      </c>
      <c r="B104" s="42" t="n">
        <v>46260</v>
      </c>
      <c r="C104" s="44" t="inlineStr">
        <is>
          <t>TEF-PBL</t>
        </is>
      </c>
      <c r="D104" s="44" t="inlineStr">
        <is>
          <t>Dragapult ex Blaziken ex</t>
        </is>
      </c>
      <c r="E104" s="44" t="inlineStr">
        <is>
          <t>Dragapolli v2</t>
        </is>
      </c>
      <c r="F104" s="44" t="inlineStr">
        <is>
          <t>Alakazam Dudunsparce</t>
        </is>
      </c>
      <c r="G104" s="44" t="n">
        <v>2</v>
      </c>
      <c r="H104" s="44" t="inlineStr">
        <is>
          <t>W</t>
        </is>
      </c>
      <c r="I104" s="44" t="n"/>
      <c r="J104" s="44" t="inlineStr">
        <is>
          <t>TCGLive</t>
        </is>
      </c>
      <c r="K104" s="44" t="n"/>
      <c r="L104" s="20">
        <f>IF(D104="","",IF(H104="W",1,IF(H104="L",0,"")))</f>
        <v/>
      </c>
      <c r="M104" s="20">
        <f>IF(D104="","",COUNTIFS($D$2:D104,D104))</f>
        <v/>
      </c>
      <c r="N104" s="20">
        <f>IF(D104="","",D104&amp;"|"&amp;M104)</f>
        <v/>
      </c>
      <c r="O104" s="20">
        <f>IF(D104="","",COUNTIFS($D$2:D104,D104,$H$2:H104,"W"))</f>
        <v/>
      </c>
      <c r="P104" s="22">
        <f>IF(D104="","",IFERROR(O104/M104,""))</f>
        <v/>
      </c>
      <c r="Q104" s="20">
        <f>IF(G104="","",IF(G104=1,"1°","2°"))</f>
        <v/>
      </c>
      <c r="R104" s="20">
        <f>IF(B104="","",TEXT(B104,"mmm-yyyy"))</f>
        <v/>
      </c>
    </row>
    <row r="105" ht="15.75" customHeight="1" s="54">
      <c r="A105" s="48" t="n">
        <v>104</v>
      </c>
      <c r="B105" s="24" t="n">
        <v>46260</v>
      </c>
      <c r="C105" s="48" t="inlineStr">
        <is>
          <t>TEF-PBL</t>
        </is>
      </c>
      <c r="D105" s="48" t="inlineStr">
        <is>
          <t>Dragapult ex Blaziken ex</t>
        </is>
      </c>
      <c r="E105" s="48" t="inlineStr">
        <is>
          <t>Dragapolli v2</t>
        </is>
      </c>
      <c r="F105" s="48" t="inlineStr">
        <is>
          <t>Slowking</t>
        </is>
      </c>
      <c r="G105" s="48" t="n">
        <v>2</v>
      </c>
      <c r="H105" s="48" t="inlineStr">
        <is>
          <t>W</t>
        </is>
      </c>
      <c r="I105" s="48" t="n"/>
      <c r="J105" s="48" t="inlineStr">
        <is>
          <t>TCGLive</t>
        </is>
      </c>
      <c r="K105" s="48" t="n"/>
      <c r="L105" s="25">
        <f>IF(D105="","",IF(H105="W",1,IF(H105="L",0,"")))</f>
        <v/>
      </c>
      <c r="M105" s="25">
        <f>IF(D105="","",COUNTIFS($D$2:D105,D105))</f>
        <v/>
      </c>
      <c r="N105" s="25">
        <f>IF(D105="","",D105&amp;"|"&amp;M105)</f>
        <v/>
      </c>
      <c r="O105" s="25">
        <f>IF(D105="","",COUNTIFS($D$2:D105,D105,$H$2:H105,"W"))</f>
        <v/>
      </c>
      <c r="P105" s="26">
        <f>IF(D105="","",IFERROR(O105/M105,""))</f>
        <v/>
      </c>
      <c r="Q105" s="25">
        <f>IF(G105="","",IF(G105=1,"1°","2°"))</f>
        <v/>
      </c>
      <c r="R105" s="25">
        <f>IF(B105="","",TEXT(B105,"mmm-yyyy"))</f>
        <v/>
      </c>
    </row>
    <row r="106" ht="15.75" customHeight="1" s="54">
      <c r="A106" s="44" t="n">
        <v>105</v>
      </c>
      <c r="B106" s="42" t="n">
        <v>46260</v>
      </c>
      <c r="C106" s="44" t="inlineStr">
        <is>
          <t>TEF-PBL</t>
        </is>
      </c>
      <c r="D106" s="44" t="inlineStr">
        <is>
          <t>Dragapult ex Blaziken ex</t>
        </is>
      </c>
      <c r="E106" s="44" t="inlineStr">
        <is>
          <t>Dragapolli v2</t>
        </is>
      </c>
      <c r="F106" s="44" t="inlineStr">
        <is>
          <t>Zoroark ex</t>
        </is>
      </c>
      <c r="G106" s="44" t="n">
        <v>2</v>
      </c>
      <c r="H106" s="44" t="inlineStr">
        <is>
          <t>L</t>
        </is>
      </c>
      <c r="I106" s="44" t="n"/>
      <c r="J106" s="44" t="inlineStr">
        <is>
          <t>TCGLive</t>
        </is>
      </c>
      <c r="K106" s="44" t="inlineStr">
        <is>
          <t>Devi provare il doppio zoroark ko</t>
        </is>
      </c>
      <c r="L106" s="20">
        <f>IF(D106="","",IF(H106="W",1,IF(H106="L",0,"")))</f>
        <v/>
      </c>
      <c r="M106" s="20">
        <f>IF(D106="","",COUNTIFS($D$2:D106,D106))</f>
        <v/>
      </c>
      <c r="N106" s="20">
        <f>IF(D106="","",D106&amp;"|"&amp;M106)</f>
        <v/>
      </c>
      <c r="O106" s="20">
        <f>IF(D106="","",COUNTIFS($D$2:D106,D106,$H$2:H106,"W"))</f>
        <v/>
      </c>
      <c r="P106" s="22">
        <f>IF(D106="","",IFERROR(O106/M106,""))</f>
        <v/>
      </c>
      <c r="Q106" s="20">
        <f>IF(G106="","",IF(G106=1,"1°","2°"))</f>
        <v/>
      </c>
      <c r="R106" s="20">
        <f>IF(B106="","",TEXT(B106,"mmm-yyyy"))</f>
        <v/>
      </c>
    </row>
    <row r="107" ht="15.75" customHeight="1" s="54">
      <c r="A107" s="48" t="n">
        <v>106</v>
      </c>
      <c r="B107" s="24" t="n">
        <v>46260</v>
      </c>
      <c r="C107" s="48" t="inlineStr">
        <is>
          <t>TEF-PBL</t>
        </is>
      </c>
      <c r="D107" s="48" t="inlineStr">
        <is>
          <t>Dragapult ex Blaziken ex</t>
        </is>
      </c>
      <c r="E107" s="48" t="inlineStr">
        <is>
          <t>Dragapolli v2</t>
        </is>
      </c>
      <c r="F107" s="48" t="inlineStr">
        <is>
          <t>Garchomp ex</t>
        </is>
      </c>
      <c r="G107" s="48" t="n">
        <v>2</v>
      </c>
      <c r="H107" s="48" t="inlineStr">
        <is>
          <t>L</t>
        </is>
      </c>
      <c r="I107" s="48" t="n"/>
      <c r="J107" s="48" t="inlineStr">
        <is>
          <t>TCGLive</t>
        </is>
      </c>
      <c r="K107" s="48" t="n"/>
      <c r="L107" s="25">
        <f>IF(D107="","",IF(H107="W",1,IF(H107="L",0,"")))</f>
        <v/>
      </c>
      <c r="M107" s="25">
        <f>IF(D107="","",COUNTIFS($D$2:D107,D107))</f>
        <v/>
      </c>
      <c r="N107" s="25">
        <f>IF(D107="","",D107&amp;"|"&amp;M107)</f>
        <v/>
      </c>
      <c r="O107" s="25">
        <f>IF(D107="","",COUNTIFS($D$2:D107,D107,$H$2:H107,"W"))</f>
        <v/>
      </c>
      <c r="P107" s="26">
        <f>IF(D107="","",IFERROR(O107/M107,""))</f>
        <v/>
      </c>
      <c r="Q107" s="25">
        <f>IF(G107="","",IF(G107=1,"1°","2°"))</f>
        <v/>
      </c>
      <c r="R107" s="25">
        <f>IF(B107="","",TEXT(B107,"mmm-yyyy"))</f>
        <v/>
      </c>
    </row>
    <row r="108" ht="15.75" customHeight="1" s="54">
      <c r="A108" s="44" t="n">
        <v>107</v>
      </c>
      <c r="B108" s="42" t="n">
        <v>46260</v>
      </c>
      <c r="C108" s="44" t="inlineStr">
        <is>
          <t>TEF-PBL</t>
        </is>
      </c>
      <c r="D108" s="44" t="inlineStr">
        <is>
          <t>Dragapult ex Blaziken ex</t>
        </is>
      </c>
      <c r="E108" s="44" t="inlineStr">
        <is>
          <t>Dragapolli v2</t>
        </is>
      </c>
      <c r="F108" s="44" t="inlineStr">
        <is>
          <t>Slowking</t>
        </is>
      </c>
      <c r="G108" s="44" t="n">
        <v>2</v>
      </c>
      <c r="H108" s="44" t="inlineStr">
        <is>
          <t>W</t>
        </is>
      </c>
      <c r="I108" s="44" t="n"/>
      <c r="J108" s="44" t="inlineStr">
        <is>
          <t>TCGLive</t>
        </is>
      </c>
      <c r="K108" s="44" t="n"/>
      <c r="L108" s="20">
        <f>IF(D108="","",IF(H108="W",1,IF(H108="L",0,"")))</f>
        <v/>
      </c>
      <c r="M108" s="20">
        <f>IF(D108="","",COUNTIFS($D$2:D108,D108))</f>
        <v/>
      </c>
      <c r="N108" s="20">
        <f>IF(D108="","",D108&amp;"|"&amp;M108)</f>
        <v/>
      </c>
      <c r="O108" s="20">
        <f>IF(D108="","",COUNTIFS($D$2:D108,D108,$H$2:H108,"W"))</f>
        <v/>
      </c>
      <c r="P108" s="22">
        <f>IF(D108="","",IFERROR(O108/M108,""))</f>
        <v/>
      </c>
      <c r="Q108" s="20">
        <f>IF(G108="","",IF(G108=1,"1°","2°"))</f>
        <v/>
      </c>
      <c r="R108" s="20">
        <f>IF(B108="","",TEXT(B108,"mmm-yyyy"))</f>
        <v/>
      </c>
    </row>
    <row r="109" ht="15.75" customHeight="1" s="54">
      <c r="A109" s="48" t="n">
        <v>108</v>
      </c>
      <c r="B109" s="24" t="n">
        <v>46260</v>
      </c>
      <c r="C109" s="48" t="inlineStr">
        <is>
          <t>TEF-PBL</t>
        </is>
      </c>
      <c r="D109" s="48" t="inlineStr">
        <is>
          <t>Dragapult ex Blaziken ex</t>
        </is>
      </c>
      <c r="E109" s="48" t="inlineStr">
        <is>
          <t>Dragapolli v2</t>
        </is>
      </c>
      <c r="F109" s="48" t="inlineStr">
        <is>
          <t>Metagross ex</t>
        </is>
      </c>
      <c r="G109" s="48" t="n">
        <v>2</v>
      </c>
      <c r="H109" s="48" t="inlineStr">
        <is>
          <t>W</t>
        </is>
      </c>
      <c r="I109" s="48" t="n"/>
      <c r="J109" s="48" t="inlineStr">
        <is>
          <t>TCGLive</t>
        </is>
      </c>
      <c r="K109" s="48" t="n"/>
      <c r="L109" s="25">
        <f>IF(D109="","",IF(H109="W",1,IF(H109="L",0,"")))</f>
        <v/>
      </c>
      <c r="M109" s="25">
        <f>IF(D109="","",COUNTIFS($D$2:D109,D109))</f>
        <v/>
      </c>
      <c r="N109" s="25">
        <f>IF(D109="","",D109&amp;"|"&amp;M109)</f>
        <v/>
      </c>
      <c r="O109" s="25">
        <f>IF(D109="","",COUNTIFS($D$2:D109,D109,$H$2:H109,"W"))</f>
        <v/>
      </c>
      <c r="P109" s="26">
        <f>IF(D109="","",IFERROR(O109/M109,""))</f>
        <v/>
      </c>
      <c r="Q109" s="25">
        <f>IF(G109="","",IF(G109=1,"1°","2°"))</f>
        <v/>
      </c>
      <c r="R109" s="25">
        <f>IF(B109="","",TEXT(B109,"mmm-yyyy"))</f>
        <v/>
      </c>
    </row>
    <row r="110" ht="15.75" customHeight="1" s="54">
      <c r="A110" s="44" t="n">
        <v>109</v>
      </c>
      <c r="B110" s="42" t="n">
        <v>46260</v>
      </c>
      <c r="C110" s="44" t="inlineStr">
        <is>
          <t>TEF-PBL</t>
        </is>
      </c>
      <c r="D110" s="44" t="inlineStr">
        <is>
          <t>Dragapult ex Blaziken ex</t>
        </is>
      </c>
      <c r="E110" s="44" t="inlineStr">
        <is>
          <t>Dragapolli v3</t>
        </is>
      </c>
      <c r="F110" s="44" t="inlineStr">
        <is>
          <t>Slowking</t>
        </is>
      </c>
      <c r="G110" s="44" t="n">
        <v>2</v>
      </c>
      <c r="H110" s="44" t="inlineStr">
        <is>
          <t>L</t>
        </is>
      </c>
      <c r="I110" s="44" t="n"/>
      <c r="J110" s="44" t="inlineStr">
        <is>
          <t>TCGLive</t>
        </is>
      </c>
      <c r="K110" s="44" t="n"/>
      <c r="L110" s="20">
        <f>IF(D110="","",IF(H110="W",1,IF(H110="L",0,"")))</f>
        <v/>
      </c>
      <c r="M110" s="20">
        <f>IF(D110="","",COUNTIFS($D$2:D110,D110))</f>
        <v/>
      </c>
      <c r="N110" s="20">
        <f>IF(D110="","",D110&amp;"|"&amp;M110)</f>
        <v/>
      </c>
      <c r="O110" s="20">
        <f>IF(D110="","",COUNTIFS($D$2:D110,D110,$H$2:H110,"W"))</f>
        <v/>
      </c>
      <c r="P110" s="22">
        <f>IF(D110="","",IFERROR(O110/M110,""))</f>
        <v/>
      </c>
      <c r="Q110" s="20">
        <f>IF(G110="","",IF(G110=1,"1°","2°"))</f>
        <v/>
      </c>
      <c r="R110" s="20">
        <f>IF(B110="","",TEXT(B110,"mmm-yyyy"))</f>
        <v/>
      </c>
    </row>
    <row r="111" ht="15.75" customHeight="1" s="54">
      <c r="A111" s="48" t="n">
        <v>110</v>
      </c>
      <c r="B111" s="24" t="n">
        <v>46260</v>
      </c>
      <c r="C111" s="48" t="inlineStr">
        <is>
          <t>TEF-PBL</t>
        </is>
      </c>
      <c r="D111" s="48" t="inlineStr">
        <is>
          <t>Dragapult ex Blaziken ex</t>
        </is>
      </c>
      <c r="E111" s="48" t="inlineStr">
        <is>
          <t>Dragapolli v3</t>
        </is>
      </c>
      <c r="F111" s="48" t="inlineStr">
        <is>
          <t>Garchomp ex</t>
        </is>
      </c>
      <c r="G111" s="48" t="n">
        <v>2</v>
      </c>
      <c r="H111" s="48" t="inlineStr">
        <is>
          <t>W</t>
        </is>
      </c>
      <c r="I111" s="48" t="n"/>
      <c r="J111" s="48" t="inlineStr">
        <is>
          <t>TCGLive</t>
        </is>
      </c>
      <c r="K111" s="48" t="n"/>
      <c r="L111" s="25">
        <f>IF(D111="","",IF(H111="W",1,IF(H111="L",0,"")))</f>
        <v/>
      </c>
      <c r="M111" s="25">
        <f>IF(D111="","",COUNTIFS($D$2:D111,D111))</f>
        <v/>
      </c>
      <c r="N111" s="25">
        <f>IF(D111="","",D111&amp;"|"&amp;M111)</f>
        <v/>
      </c>
      <c r="O111" s="25">
        <f>IF(D111="","",COUNTIFS($D$2:D111,D111,$H$2:H111,"W"))</f>
        <v/>
      </c>
      <c r="P111" s="26">
        <f>IF(D111="","",IFERROR(O111/M111,""))</f>
        <v/>
      </c>
      <c r="Q111" s="25">
        <f>IF(G111="","",IF(G111=1,"1°","2°"))</f>
        <v/>
      </c>
      <c r="R111" s="25">
        <f>IF(B111="","",TEXT(B111,"mmm-yyyy"))</f>
        <v/>
      </c>
    </row>
    <row r="112" ht="15.75" customHeight="1" s="54">
      <c r="A112" s="44" t="n">
        <v>111</v>
      </c>
      <c r="B112" s="42" t="n">
        <v>46260</v>
      </c>
      <c r="C112" s="44" t="inlineStr">
        <is>
          <t>TEF-PBL</t>
        </is>
      </c>
      <c r="D112" s="44" t="inlineStr">
        <is>
          <t>Dragapult ex Blaziken ex</t>
        </is>
      </c>
      <c r="E112" s="44" t="inlineStr">
        <is>
          <t>Dragapolli v3</t>
        </is>
      </c>
      <c r="F112" s="44" t="inlineStr">
        <is>
          <t>Hydrapple ex Ogerpon ex</t>
        </is>
      </c>
      <c r="G112" s="44" t="n">
        <v>2</v>
      </c>
      <c r="H112" s="44" t="inlineStr">
        <is>
          <t>W</t>
        </is>
      </c>
      <c r="I112" s="44" t="n"/>
      <c r="J112" s="44" t="inlineStr">
        <is>
          <t>TCGLive</t>
        </is>
      </c>
      <c r="K112" s="44" t="n"/>
      <c r="L112" s="20">
        <f>IF(D112="","",IF(H112="W",1,IF(H112="L",0,"")))</f>
        <v/>
      </c>
      <c r="M112" s="20">
        <f>IF(D112="","",COUNTIFS($D$2:D112,D112))</f>
        <v/>
      </c>
      <c r="N112" s="20">
        <f>IF(D112="","",D112&amp;"|"&amp;M112)</f>
        <v/>
      </c>
      <c r="O112" s="20">
        <f>IF(D112="","",COUNTIFS($D$2:D112,D112,$H$2:H112,"W"))</f>
        <v/>
      </c>
      <c r="P112" s="22">
        <f>IF(D112="","",IFERROR(O112/M112,""))</f>
        <v/>
      </c>
      <c r="Q112" s="20">
        <f>IF(G112="","",IF(G112=1,"1°","2°"))</f>
        <v/>
      </c>
      <c r="R112" s="20">
        <f>IF(B112="","",TEXT(B112,"mmm-yyyy"))</f>
        <v/>
      </c>
    </row>
    <row r="113" ht="15.75" customHeight="1" s="54">
      <c r="A113" s="48" t="n">
        <v>112</v>
      </c>
      <c r="B113" s="24" t="n">
        <v>46260</v>
      </c>
      <c r="C113" s="48" t="inlineStr">
        <is>
          <t>TEF-PBL</t>
        </is>
      </c>
      <c r="D113" s="48" t="inlineStr">
        <is>
          <t>Dragapult ex Blaziken ex</t>
        </is>
      </c>
      <c r="E113" s="48" t="inlineStr">
        <is>
          <t>Dragapolli v3</t>
        </is>
      </c>
      <c r="F113" s="48" t="inlineStr">
        <is>
          <t>MegaChandelure ex</t>
        </is>
      </c>
      <c r="G113" s="48" t="n">
        <v>2</v>
      </c>
      <c r="H113" s="48" t="inlineStr">
        <is>
          <t>L</t>
        </is>
      </c>
      <c r="I113" s="48" t="inlineStr">
        <is>
          <t>Bad Draw</t>
        </is>
      </c>
      <c r="J113" s="48" t="inlineStr">
        <is>
          <t>TCGLive</t>
        </is>
      </c>
      <c r="K113" s="48" t="n"/>
      <c r="L113" s="25">
        <f>IF(D113="","",IF(H113="W",1,IF(H113="L",0,"")))</f>
        <v/>
      </c>
      <c r="M113" s="25">
        <f>IF(D113="","",COUNTIFS($D$2:D113,D113))</f>
        <v/>
      </c>
      <c r="N113" s="25">
        <f>IF(D113="","",D113&amp;"|"&amp;M113)</f>
        <v/>
      </c>
      <c r="O113" s="25">
        <f>IF(D113="","",COUNTIFS($D$2:D113,D113,$H$2:H113,"W"))</f>
        <v/>
      </c>
      <c r="P113" s="26">
        <f>IF(D113="","",IFERROR(O113/M113,""))</f>
        <v/>
      </c>
      <c r="Q113" s="25">
        <f>IF(G113="","",IF(G113=1,"1°","2°"))</f>
        <v/>
      </c>
      <c r="R113" s="25">
        <f>IF(B113="","",TEXT(B113,"mmm-yyyy"))</f>
        <v/>
      </c>
    </row>
    <row r="114" ht="15.75" customHeight="1" s="54">
      <c r="A114" s="44" t="n">
        <v>113</v>
      </c>
      <c r="B114" s="42" t="n">
        <v>46260</v>
      </c>
      <c r="C114" s="44" t="inlineStr">
        <is>
          <t>TEF-PBL</t>
        </is>
      </c>
      <c r="D114" s="44" t="inlineStr">
        <is>
          <t>Dragapult ex</t>
        </is>
      </c>
      <c r="E114" s="44" t="inlineStr">
        <is>
          <t>Dragapult v1</t>
        </is>
      </c>
      <c r="F114" s="44" t="inlineStr">
        <is>
          <t>Alakazam Dudunsparce</t>
        </is>
      </c>
      <c r="G114" s="44" t="n">
        <v>1</v>
      </c>
      <c r="H114" s="44" t="inlineStr">
        <is>
          <t>W</t>
        </is>
      </c>
      <c r="I114" s="44" t="n"/>
      <c r="J114" s="44" t="inlineStr">
        <is>
          <t>TCGLive</t>
        </is>
      </c>
      <c r="K114" s="44" t="n"/>
      <c r="L114" s="20">
        <f>IF(D114="","",IF(H114="W",1,IF(H114="L",0,"")))</f>
        <v/>
      </c>
      <c r="M114" s="20">
        <f>IF(D114="","",COUNTIFS($D$2:D114,D114))</f>
        <v/>
      </c>
      <c r="N114" s="20">
        <f>IF(D114="","",D114&amp;"|"&amp;M114)</f>
        <v/>
      </c>
      <c r="O114" s="20">
        <f>IF(D114="","",COUNTIFS($D$2:D114,D114,$H$2:H114,"W"))</f>
        <v/>
      </c>
      <c r="P114" s="22">
        <f>IF(D114="","",IFERROR(O114/M114,""))</f>
        <v/>
      </c>
      <c r="Q114" s="20">
        <f>IF(G114="","",IF(G114=1,"1°","2°"))</f>
        <v/>
      </c>
      <c r="R114" s="20">
        <f>IF(B114="","",TEXT(B114,"mmm-yyyy"))</f>
        <v/>
      </c>
    </row>
    <row r="115" ht="15.75" customHeight="1" s="54">
      <c r="A115" s="48" t="n">
        <v>114</v>
      </c>
      <c r="B115" s="24" t="n">
        <v>46260</v>
      </c>
      <c r="C115" s="48" t="inlineStr">
        <is>
          <t>TEF-PBL</t>
        </is>
      </c>
      <c r="D115" s="48" t="inlineStr">
        <is>
          <t>Dragapult ex</t>
        </is>
      </c>
      <c r="E115" s="48" t="inlineStr">
        <is>
          <t>Dragapult v1</t>
        </is>
      </c>
      <c r="F115" s="48" t="inlineStr">
        <is>
          <t>MegaChandelure ex</t>
        </is>
      </c>
      <c r="G115" s="48" t="n">
        <v>1</v>
      </c>
      <c r="H115" s="48" t="inlineStr">
        <is>
          <t>W</t>
        </is>
      </c>
      <c r="I115" s="48" t="n"/>
      <c r="J115" s="48" t="inlineStr">
        <is>
          <t>TCGLive</t>
        </is>
      </c>
      <c r="K115" s="48" t="n"/>
      <c r="L115" s="25">
        <f>IF(D115="","",IF(H115="W",1,IF(H115="L",0,"")))</f>
        <v/>
      </c>
      <c r="M115" s="25">
        <f>IF(D115="","",COUNTIFS($D$2:D115,D115))</f>
        <v/>
      </c>
      <c r="N115" s="25">
        <f>IF(D115="","",D115&amp;"|"&amp;M115)</f>
        <v/>
      </c>
      <c r="O115" s="25">
        <f>IF(D115="","",COUNTIFS($D$2:D115,D115,$H$2:H115,"W"))</f>
        <v/>
      </c>
      <c r="P115" s="26">
        <f>IF(D115="","",IFERROR(O115/M115,""))</f>
        <v/>
      </c>
      <c r="Q115" s="25">
        <f>IF(G115="","",IF(G115=1,"1°","2°"))</f>
        <v/>
      </c>
      <c r="R115" s="25">
        <f>IF(B115="","",TEXT(B115,"mmm-yyyy"))</f>
        <v/>
      </c>
    </row>
    <row r="116" ht="15.75" customHeight="1" s="54">
      <c r="A116" s="44" t="n">
        <v>115</v>
      </c>
      <c r="B116" s="42" t="n">
        <v>46261</v>
      </c>
      <c r="C116" s="44" t="inlineStr">
        <is>
          <t>TEF-PBL</t>
        </is>
      </c>
      <c r="D116" s="44" t="inlineStr">
        <is>
          <t>Dragapult ex Blaziken ex</t>
        </is>
      </c>
      <c r="E116" s="44" t="inlineStr">
        <is>
          <t>Dragapolli v2</t>
        </is>
      </c>
      <c r="F116" s="44" t="inlineStr">
        <is>
          <t>Dhelmise Banette</t>
        </is>
      </c>
      <c r="G116" s="44" t="n">
        <v>2</v>
      </c>
      <c r="H116" s="44" t="inlineStr">
        <is>
          <t>W</t>
        </is>
      </c>
      <c r="I116" s="44" t="n"/>
      <c r="J116" s="44" t="inlineStr">
        <is>
          <t>TCGLive</t>
        </is>
      </c>
      <c r="K116" s="44" t="n"/>
      <c r="L116" s="20">
        <f>IF(D116="","",IF(H116="W",1,IF(H116="L",0,"")))</f>
        <v/>
      </c>
      <c r="M116" s="20">
        <f>IF(D116="","",COUNTIFS($D$2:D116,D116))</f>
        <v/>
      </c>
      <c r="N116" s="20">
        <f>IF(D116="","",D116&amp;"|"&amp;M116)</f>
        <v/>
      </c>
      <c r="O116" s="20">
        <f>IF(D116="","",COUNTIFS($D$2:D116,D116,$H$2:H116,"W"))</f>
        <v/>
      </c>
      <c r="P116" s="22">
        <f>IF(D116="","",IFERROR(O116/M116,""))</f>
        <v/>
      </c>
      <c r="Q116" s="20">
        <f>IF(G116="","",IF(G116=1,"1°","2°"))</f>
        <v/>
      </c>
      <c r="R116" s="20">
        <f>IF(B116="","",TEXT(B116,"mmm-yyyy"))</f>
        <v/>
      </c>
    </row>
    <row r="117" ht="15.75" customHeight="1" s="54">
      <c r="A117" s="48" t="n">
        <v>116</v>
      </c>
      <c r="B117" s="24" t="n">
        <v>46261</v>
      </c>
      <c r="C117" s="48" t="inlineStr">
        <is>
          <t>TEF-PBL</t>
        </is>
      </c>
      <c r="D117" s="48" t="inlineStr">
        <is>
          <t>Dragapult ex Blaziken ex</t>
        </is>
      </c>
      <c r="E117" s="48" t="inlineStr">
        <is>
          <t>Dragapolli v2</t>
        </is>
      </c>
      <c r="F117" s="48" t="inlineStr">
        <is>
          <t>MegaLopunny ex</t>
        </is>
      </c>
      <c r="G117" s="48" t="n">
        <v>2</v>
      </c>
      <c r="H117" s="48" t="inlineStr">
        <is>
          <t>L</t>
        </is>
      </c>
      <c r="I117" s="48" t="inlineStr">
        <is>
          <t>Bad Start</t>
        </is>
      </c>
      <c r="J117" s="48" t="inlineStr">
        <is>
          <t>TCGLive</t>
        </is>
      </c>
      <c r="K117" s="48" t="n"/>
      <c r="L117" s="25">
        <f>IF(D117="","",IF(H117="W",1,IF(H117="L",0,"")))</f>
        <v/>
      </c>
      <c r="M117" s="25">
        <f>IF(D117="","",COUNTIFS($D$2:D117,D117))</f>
        <v/>
      </c>
      <c r="N117" s="25">
        <f>IF(D117="","",D117&amp;"|"&amp;M117)</f>
        <v/>
      </c>
      <c r="O117" s="25">
        <f>IF(D117="","",COUNTIFS($D$2:D117,D117,$H$2:H117,"W"))</f>
        <v/>
      </c>
      <c r="P117" s="26">
        <f>IF(D117="","",IFERROR(O117/M117,""))</f>
        <v/>
      </c>
      <c r="Q117" s="25">
        <f>IF(G117="","",IF(G117=1,"1°","2°"))</f>
        <v/>
      </c>
      <c r="R117" s="25">
        <f>IF(B117="","",TEXT(B117,"mmm-yyyy"))</f>
        <v/>
      </c>
    </row>
    <row r="118" ht="15.75" customHeight="1" s="54">
      <c r="A118" s="44" t="n">
        <v>117</v>
      </c>
      <c r="B118" s="42" t="n">
        <v>46261</v>
      </c>
      <c r="C118" s="44" t="inlineStr">
        <is>
          <t>TEF-PBL</t>
        </is>
      </c>
      <c r="D118" s="44" t="inlineStr">
        <is>
          <t>Dragapult ex Blaziken ex</t>
        </is>
      </c>
      <c r="E118" s="44" t="inlineStr">
        <is>
          <t>Dragapolli v2</t>
        </is>
      </c>
      <c r="F118" s="44" t="inlineStr">
        <is>
          <t>Alakazam Dudunsparce</t>
        </is>
      </c>
      <c r="G118" s="44" t="n">
        <v>2</v>
      </c>
      <c r="H118" s="44" t="inlineStr">
        <is>
          <t>L</t>
        </is>
      </c>
      <c r="I118" s="44" t="inlineStr">
        <is>
          <t>Bad Start</t>
        </is>
      </c>
      <c r="J118" s="44" t="inlineStr">
        <is>
          <t>TCGLive</t>
        </is>
      </c>
      <c r="K118" s="44" t="n"/>
      <c r="L118" s="20">
        <f>IF(D118="","",IF(H118="W",1,IF(H118="L",0,"")))</f>
        <v/>
      </c>
      <c r="M118" s="20">
        <f>IF(D118="","",COUNTIFS($D$2:D118,D118))</f>
        <v/>
      </c>
      <c r="N118" s="20">
        <f>IF(D118="","",D118&amp;"|"&amp;M118)</f>
        <v/>
      </c>
      <c r="O118" s="20">
        <f>IF(D118="","",COUNTIFS($D$2:D118,D118,$H$2:H118,"W"))</f>
        <v/>
      </c>
      <c r="P118" s="22">
        <f>IF(D118="","",IFERROR(O118/M118,""))</f>
        <v/>
      </c>
      <c r="Q118" s="20">
        <f>IF(G118="","",IF(G118=1,"1°","2°"))</f>
        <v/>
      </c>
      <c r="R118" s="20">
        <f>IF(B118="","",TEXT(B118,"mmm-yyyy"))</f>
        <v/>
      </c>
    </row>
    <row r="119" ht="15.75" customHeight="1" s="54">
      <c r="A119" s="48" t="n">
        <v>118</v>
      </c>
      <c r="B119" s="24" t="n">
        <v>46261</v>
      </c>
      <c r="C119" s="48" t="inlineStr">
        <is>
          <t>TEF-PBL</t>
        </is>
      </c>
      <c r="D119" s="48" t="inlineStr">
        <is>
          <t>Dragapult ex Blaziken ex</t>
        </is>
      </c>
      <c r="E119" s="48" t="inlineStr">
        <is>
          <t>Dragapolli v2</t>
        </is>
      </c>
      <c r="F119" s="48" t="inlineStr">
        <is>
          <t>Bronzong Dusknoir</t>
        </is>
      </c>
      <c r="G119" s="48" t="n">
        <v>2</v>
      </c>
      <c r="H119" s="48" t="inlineStr">
        <is>
          <t>L</t>
        </is>
      </c>
      <c r="I119" s="48" t="inlineStr">
        <is>
          <t>Bad Start</t>
        </is>
      </c>
      <c r="J119" s="48" t="inlineStr">
        <is>
          <t>TCGLive</t>
        </is>
      </c>
      <c r="K119" s="48" t="inlineStr">
        <is>
          <t>Parti primo</t>
        </is>
      </c>
      <c r="L119" s="25">
        <f>IF(D119="","",IF(H119="W",1,IF(H119="L",0,"")))</f>
        <v/>
      </c>
      <c r="M119" s="25">
        <f>IF(D119="","",COUNTIFS($D$2:D119,D119))</f>
        <v/>
      </c>
      <c r="N119" s="25">
        <f>IF(D119="","",D119&amp;"|"&amp;M119)</f>
        <v/>
      </c>
      <c r="O119" s="25">
        <f>IF(D119="","",COUNTIFS($D$2:D119,D119,$H$2:H119,"W"))</f>
        <v/>
      </c>
      <c r="P119" s="26">
        <f>IF(D119="","",IFERROR(O119/M119,""))</f>
        <v/>
      </c>
      <c r="Q119" s="25">
        <f>IF(G119="","",IF(G119=1,"1°","2°"))</f>
        <v/>
      </c>
      <c r="R119" s="25">
        <f>IF(B119="","",TEXT(B119,"mmm-yyyy"))</f>
        <v/>
      </c>
    </row>
    <row r="120" ht="15.75" customHeight="1" s="54">
      <c r="A120" s="44" t="n">
        <v>119</v>
      </c>
      <c r="B120" s="42" t="n">
        <v>46261</v>
      </c>
      <c r="C120" s="44" t="inlineStr">
        <is>
          <t>TEF-PBL</t>
        </is>
      </c>
      <c r="D120" s="44" t="inlineStr">
        <is>
          <t>Dragapult ex Blaziken ex</t>
        </is>
      </c>
      <c r="E120" s="44" t="inlineStr">
        <is>
          <t>Dragapolli v2</t>
        </is>
      </c>
      <c r="F120" s="44" t="inlineStr">
        <is>
          <t>Grimmsnarl ex Froslass</t>
        </is>
      </c>
      <c r="G120" s="44" t="n">
        <v>2</v>
      </c>
      <c r="H120" s="44" t="inlineStr">
        <is>
          <t>W</t>
        </is>
      </c>
      <c r="I120" s="44" t="n"/>
      <c r="J120" s="44" t="inlineStr">
        <is>
          <t>TCGLive</t>
        </is>
      </c>
      <c r="K120" s="44" t="n"/>
      <c r="L120" s="25">
        <f>IF(D120="","",IF(H120="W",1,IF(H120="L",0,"")))</f>
        <v/>
      </c>
      <c r="M120" s="25">
        <f>IF(D120="","",COUNTIFS($D$2:D120,D120))</f>
        <v/>
      </c>
      <c r="N120" s="25">
        <f>IF(D120="","",D120&amp;"|"&amp;M120)</f>
        <v/>
      </c>
      <c r="O120" s="25">
        <f>IF(D120="","",COUNTIFS($D$2:D120,D120,$H$2:H120,"W"))</f>
        <v/>
      </c>
      <c r="P120" s="26">
        <f>IF(D120="","",IFERROR(O120/M120,""))</f>
        <v/>
      </c>
      <c r="Q120" s="25">
        <f>IF(G120="","",IF(G120=1,"1°","2°"))</f>
        <v/>
      </c>
      <c r="R120" s="25">
        <f>IF(B120="","",TEXT(B120,"mmm-yyyy"))</f>
        <v/>
      </c>
    </row>
    <row r="121" ht="15.75" customHeight="1" s="54">
      <c r="A121" s="48" t="n">
        <v>120</v>
      </c>
      <c r="B121" s="24" t="n">
        <v>46261</v>
      </c>
      <c r="C121" s="48" t="inlineStr">
        <is>
          <t>TEF-PBL</t>
        </is>
      </c>
      <c r="D121" s="48" t="inlineStr">
        <is>
          <t>Dragapult ex Blaziken ex</t>
        </is>
      </c>
      <c r="E121" s="48" t="inlineStr">
        <is>
          <t>Dragapolli v3</t>
        </is>
      </c>
      <c r="F121" s="48" t="inlineStr">
        <is>
          <t>Alakazam Dudunsparce</t>
        </is>
      </c>
      <c r="G121" s="48" t="n">
        <v>2</v>
      </c>
      <c r="H121" s="48" t="inlineStr">
        <is>
          <t>W</t>
        </is>
      </c>
      <c r="I121" s="48" t="inlineStr">
        <is>
          <t>Good Start</t>
        </is>
      </c>
      <c r="J121" s="48" t="inlineStr">
        <is>
          <t>TCGLive</t>
        </is>
      </c>
      <c r="K121" s="48" t="n"/>
      <c r="L121" s="25">
        <f>IF(D121="","",IF(H121="W",1,IF(H121="L",0,"")))</f>
        <v/>
      </c>
      <c r="M121" s="25">
        <f>IF(D121="","",COUNTIFS($D$2:D121,D121))</f>
        <v/>
      </c>
      <c r="N121" s="25">
        <f>IF(D121="","",D121&amp;"|"&amp;M121)</f>
        <v/>
      </c>
      <c r="O121" s="25">
        <f>IF(D121="","",COUNTIFS($D$2:D121,D121,$H$2:H121,"W"))</f>
        <v/>
      </c>
      <c r="P121" s="26">
        <f>IF(D121="","",IFERROR(O121/M121,""))</f>
        <v/>
      </c>
      <c r="Q121" s="25">
        <f>IF(G121="","",IF(G121=1,"1°","2°"))</f>
        <v/>
      </c>
      <c r="R121" s="25">
        <f>IF(B121="","",TEXT(B121,"mmm-yyyy"))</f>
        <v/>
      </c>
    </row>
    <row r="122" ht="15.75" customHeight="1" s="54">
      <c r="A122" s="44" t="n">
        <v>121</v>
      </c>
      <c r="B122" s="42" t="n">
        <v>46267</v>
      </c>
      <c r="C122" s="44" t="inlineStr">
        <is>
          <t>TEF-PBL</t>
        </is>
      </c>
      <c r="D122" s="44" t="inlineStr">
        <is>
          <t>Dragapult ex</t>
        </is>
      </c>
      <c r="E122" s="44" t="inlineStr">
        <is>
          <t>Dragapult v1</t>
        </is>
      </c>
      <c r="F122" s="44" t="inlineStr">
        <is>
          <t>Dragapult ex</t>
        </is>
      </c>
      <c r="G122" s="44" t="n">
        <v>2</v>
      </c>
      <c r="H122" s="44" t="inlineStr">
        <is>
          <t>L</t>
        </is>
      </c>
      <c r="I122" s="44" t="inlineStr">
        <is>
          <t>Bad Draw</t>
        </is>
      </c>
      <c r="J122" s="44" t="inlineStr">
        <is>
          <t>TCGLive</t>
        </is>
      </c>
      <c r="K122" s="44" t="n"/>
      <c r="L122" s="25">
        <f>IF(D122="","",IF(H122="W",1,IF(H122="L",0,"")))</f>
        <v/>
      </c>
      <c r="M122" s="25">
        <f>IF(D122="","",COUNTIFS($D$2:D122,D122))</f>
        <v/>
      </c>
      <c r="N122" s="25">
        <f>IF(D122="","",D122&amp;"|"&amp;M122)</f>
        <v/>
      </c>
      <c r="O122" s="25">
        <f>IF(D122="","",COUNTIFS($D$2:D122,D122,$H$2:H122,"W"))</f>
        <v/>
      </c>
      <c r="P122" s="26">
        <f>IF(D122="","",IFERROR(O122/M122,""))</f>
        <v/>
      </c>
      <c r="Q122" s="25">
        <f>IF(G122="","",IF(G122=1,"1°","2°"))</f>
        <v/>
      </c>
      <c r="R122" s="25">
        <f>IF(B122="","",TEXT(B122,"mmm-yyyy"))</f>
        <v/>
      </c>
    </row>
    <row r="123" ht="15.75" customHeight="1" s="54">
      <c r="A123" s="48" t="n">
        <v>122</v>
      </c>
      <c r="B123" s="24" t="n">
        <v>46267</v>
      </c>
      <c r="C123" s="48" t="inlineStr">
        <is>
          <t>TEF-PBL</t>
        </is>
      </c>
      <c r="D123" s="48" t="inlineStr">
        <is>
          <t>Dragapult ex</t>
        </is>
      </c>
      <c r="E123" s="48" t="inlineStr">
        <is>
          <t>Dragapult v1</t>
        </is>
      </c>
      <c r="F123" s="48" t="inlineStr">
        <is>
          <t>Dragapult ex Blaziken ex</t>
        </is>
      </c>
      <c r="G123" s="48" t="n">
        <v>2</v>
      </c>
      <c r="H123" s="48" t="inlineStr">
        <is>
          <t>L</t>
        </is>
      </c>
      <c r="I123" s="48" t="n"/>
      <c r="J123" s="48" t="inlineStr">
        <is>
          <t>TCGLive</t>
        </is>
      </c>
      <c r="K123" s="48" t="n"/>
      <c r="L123" s="25">
        <f>IF(D123="","",IF(H123="W",1,IF(H123="L",0,"")))</f>
        <v/>
      </c>
      <c r="M123" s="25">
        <f>IF(D123="","",COUNTIFS($D$2:D123,D123))</f>
        <v/>
      </c>
      <c r="N123" s="25">
        <f>IF(D123="","",D123&amp;"|"&amp;M123)</f>
        <v/>
      </c>
      <c r="O123" s="25">
        <f>IF(D123="","",COUNTIFS($D$2:D123,D123,$H$2:H123,"W"))</f>
        <v/>
      </c>
      <c r="P123" s="26">
        <f>IF(D123="","",IFERROR(O123/M123,""))</f>
        <v/>
      </c>
      <c r="Q123" s="25">
        <f>IF(G123="","",IF(G123=1,"1°","2°"))</f>
        <v/>
      </c>
      <c r="R123" s="25">
        <f>IF(B123="","",TEXT(B123,"mmm-yyyy"))</f>
        <v/>
      </c>
    </row>
    <row r="124" ht="15.75" customHeight="1" s="54">
      <c r="A124" s="44" t="n">
        <v>123</v>
      </c>
      <c r="B124" s="42" t="n">
        <v>46267</v>
      </c>
      <c r="C124" s="44" t="inlineStr">
        <is>
          <t>TEF-PBL</t>
        </is>
      </c>
      <c r="D124" s="44" t="inlineStr">
        <is>
          <t>Dragapult ex</t>
        </is>
      </c>
      <c r="E124" s="44" t="inlineStr">
        <is>
          <t>Dragapult v1</t>
        </is>
      </c>
      <c r="F124" s="44" t="inlineStr">
        <is>
          <t>MegaExcadrill ex</t>
        </is>
      </c>
      <c r="G124" s="44" t="n">
        <v>1</v>
      </c>
      <c r="H124" s="44" t="inlineStr">
        <is>
          <t>L</t>
        </is>
      </c>
      <c r="I124" s="44" t="inlineStr">
        <is>
          <t>Bad Draw</t>
        </is>
      </c>
      <c r="J124" s="44" t="inlineStr">
        <is>
          <t>TCGLive</t>
        </is>
      </c>
      <c r="K124" s="44" t="n"/>
      <c r="L124" s="25">
        <f>IF(D124="","",IF(H124="W",1,IF(H124="L",0,"")))</f>
        <v/>
      </c>
      <c r="M124" s="25">
        <f>IF(D124="","",COUNTIFS($D$2:D124,D124))</f>
        <v/>
      </c>
      <c r="N124" s="25">
        <f>IF(D124="","",D124&amp;"|"&amp;M124)</f>
        <v/>
      </c>
      <c r="O124" s="25">
        <f>IF(D124="","",COUNTIFS($D$2:D124,D124,$H$2:H124,"W"))</f>
        <v/>
      </c>
      <c r="P124" s="26">
        <f>IF(D124="","",IFERROR(O124/M124,""))</f>
        <v/>
      </c>
      <c r="Q124" s="25">
        <f>IF(G124="","",IF(G124=1,"1°","2°"))</f>
        <v/>
      </c>
      <c r="R124" s="25">
        <f>IF(B124="","",TEXT(B124,"mmm-yyyy"))</f>
        <v/>
      </c>
    </row>
    <row r="125" ht="15.75" customHeight="1" s="54">
      <c r="A125" s="48" t="n">
        <v>124</v>
      </c>
      <c r="B125" s="24" t="n">
        <v>46270</v>
      </c>
      <c r="C125" s="48" t="inlineStr">
        <is>
          <t>TEF-PBL</t>
        </is>
      </c>
      <c r="D125" s="48" t="inlineStr">
        <is>
          <t>Dragapult ex Dusknoir</t>
        </is>
      </c>
      <c r="E125" s="48" t="inlineStr">
        <is>
          <t>PultNoir v1</t>
        </is>
      </c>
      <c r="F125" s="48" t="inlineStr">
        <is>
          <t>MegaGreninja ex Dudunsparce</t>
        </is>
      </c>
      <c r="G125" s="48" t="n">
        <v>2</v>
      </c>
      <c r="H125" s="48" t="inlineStr">
        <is>
          <t>L</t>
        </is>
      </c>
      <c r="I125" s="48" t="inlineStr">
        <is>
          <t>Bad Luck</t>
        </is>
      </c>
      <c r="J125" s="48" t="inlineStr">
        <is>
          <t>TCGLive</t>
        </is>
      </c>
      <c r="K125" s="48" t="n"/>
      <c r="L125" s="25">
        <f>IF(D125="","",IF(H125="W",1,IF(H125="L",0,"")))</f>
        <v/>
      </c>
      <c r="M125" s="25">
        <f>IF(D125="","",COUNTIFS($D$2:D125,D125))</f>
        <v/>
      </c>
      <c r="N125" s="25">
        <f>IF(D125="","",D125&amp;"|"&amp;M125)</f>
        <v/>
      </c>
      <c r="O125" s="25">
        <f>IF(D125="","",COUNTIFS($D$2:D125,D125,$H$2:H125,"W"))</f>
        <v/>
      </c>
      <c r="P125" s="26">
        <f>IF(D125="","",IFERROR(O125/M125,""))</f>
        <v/>
      </c>
      <c r="Q125" s="25">
        <f>IF(G125="","",IF(G125=1,"1°","2°"))</f>
        <v/>
      </c>
      <c r="R125" s="25">
        <f>IF(B125="","",TEXT(B125,"mmm-yyyy"))</f>
        <v/>
      </c>
    </row>
    <row r="126" ht="15.75" customHeight="1" s="54">
      <c r="A126" s="44" t="n">
        <v>125</v>
      </c>
      <c r="B126" s="42" t="n">
        <v>46270</v>
      </c>
      <c r="C126" s="44" t="inlineStr">
        <is>
          <t>TEF-PBL</t>
        </is>
      </c>
      <c r="D126" s="44" t="inlineStr">
        <is>
          <t>Dragapult ex Dusknoir</t>
        </is>
      </c>
      <c r="E126" s="44" t="inlineStr">
        <is>
          <t>PultNoir v1</t>
        </is>
      </c>
      <c r="F126" s="44" t="inlineStr">
        <is>
          <t>MegaGreninja ex Drakloak</t>
        </is>
      </c>
      <c r="G126" s="44" t="n">
        <v>1</v>
      </c>
      <c r="H126" s="44" t="inlineStr">
        <is>
          <t>W</t>
        </is>
      </c>
      <c r="I126" s="44" t="n"/>
      <c r="J126" s="44" t="inlineStr">
        <is>
          <t>TCGLive</t>
        </is>
      </c>
      <c r="K126" s="44" t="n"/>
      <c r="L126" s="25">
        <f>IF(D126="","",IF(H126="W",1,IF(H126="L",0,"")))</f>
        <v/>
      </c>
      <c r="M126" s="25">
        <f>IF(D126="","",COUNTIFS($D$2:D126,D126))</f>
        <v/>
      </c>
      <c r="N126" s="25">
        <f>IF(D126="","",D126&amp;"|"&amp;M126)</f>
        <v/>
      </c>
      <c r="O126" s="25">
        <f>IF(D126="","",COUNTIFS($D$2:D126,D126,$H$2:H126,"W"))</f>
        <v/>
      </c>
      <c r="P126" s="26">
        <f>IF(D126="","",IFERROR(O126/M126,""))</f>
        <v/>
      </c>
      <c r="Q126" s="25">
        <f>IF(G126="","",IF(G126=1,"1°","2°"))</f>
        <v/>
      </c>
      <c r="R126" s="25">
        <f>IF(B126="","",TEXT(B126,"mmm-yyyy"))</f>
        <v/>
      </c>
    </row>
    <row r="127" ht="15.75" customHeight="1" s="54">
      <c r="A127" s="48" t="n">
        <v>126</v>
      </c>
      <c r="B127" s="24" t="n">
        <v>46270</v>
      </c>
      <c r="C127" s="48" t="inlineStr">
        <is>
          <t>TEF-PBL</t>
        </is>
      </c>
      <c r="D127" s="48" t="inlineStr">
        <is>
          <t>Dragapult ex Dusknoir</t>
        </is>
      </c>
      <c r="E127" s="48" t="inlineStr">
        <is>
          <t>PultNoir v1</t>
        </is>
      </c>
      <c r="F127" s="48" t="inlineStr">
        <is>
          <t>MegaLucario ex</t>
        </is>
      </c>
      <c r="G127" s="48" t="n">
        <v>2</v>
      </c>
      <c r="H127" s="48" t="inlineStr">
        <is>
          <t>W</t>
        </is>
      </c>
      <c r="I127" s="48" t="n"/>
      <c r="J127" s="48" t="inlineStr">
        <is>
          <t>TCGLive</t>
        </is>
      </c>
      <c r="K127" s="48" t="n"/>
      <c r="L127" s="25">
        <f>IF(D127="","",IF(H127="W",1,IF(H127="L",0,"")))</f>
        <v/>
      </c>
      <c r="M127" s="25">
        <f>IF(D127="","",COUNTIFS($D$2:D127,D127))</f>
        <v/>
      </c>
      <c r="N127" s="25">
        <f>IF(D127="","",D127&amp;"|"&amp;M127)</f>
        <v/>
      </c>
      <c r="O127" s="25">
        <f>IF(D127="","",COUNTIFS($D$2:D127,D127,$H$2:H127,"W"))</f>
        <v/>
      </c>
      <c r="P127" s="26">
        <f>IF(D127="","",IFERROR(O127/M127,""))</f>
        <v/>
      </c>
      <c r="Q127" s="25">
        <f>IF(G127="","",IF(G127=1,"1°","2°"))</f>
        <v/>
      </c>
      <c r="R127" s="25">
        <f>IF(B127="","",TEXT(B127,"mmm-yyyy"))</f>
        <v/>
      </c>
    </row>
    <row r="128" ht="15.75" customHeight="1" s="54">
      <c r="A128" s="44" t="n">
        <v>127</v>
      </c>
      <c r="B128" s="42" t="n">
        <v>46270</v>
      </c>
      <c r="C128" s="44" t="inlineStr">
        <is>
          <t>TEF-PBL</t>
        </is>
      </c>
      <c r="D128" s="44" t="inlineStr">
        <is>
          <t>Dragapult ex Dusknoir</t>
        </is>
      </c>
      <c r="E128" s="44" t="inlineStr">
        <is>
          <t>PultNoir v1</t>
        </is>
      </c>
      <c r="F128" s="44" t="inlineStr">
        <is>
          <t>MegaGreninja ex Blaziken</t>
        </is>
      </c>
      <c r="G128" s="44" t="n">
        <v>2</v>
      </c>
      <c r="H128" s="44" t="inlineStr">
        <is>
          <t>W</t>
        </is>
      </c>
      <c r="I128" s="44" t="inlineStr">
        <is>
          <t>Bad Start</t>
        </is>
      </c>
      <c r="J128" s="44" t="inlineStr">
        <is>
          <t>TCGLive</t>
        </is>
      </c>
      <c r="K128" s="44" t="n"/>
      <c r="L128" s="25">
        <f>IF(D128="","",IF(H128="W",1,IF(H128="L",0,"")))</f>
        <v/>
      </c>
      <c r="M128" s="25">
        <f>IF(D128="","",COUNTIFS($D$2:D128,D128))</f>
        <v/>
      </c>
      <c r="N128" s="25">
        <f>IF(D128="","",D128&amp;"|"&amp;M128)</f>
        <v/>
      </c>
      <c r="O128" s="25">
        <f>IF(D128="","",COUNTIFS($D$2:D128,D128,$H$2:H128,"W"))</f>
        <v/>
      </c>
      <c r="P128" s="26">
        <f>IF(D128="","",IFERROR(O128/M128,""))</f>
        <v/>
      </c>
      <c r="Q128" s="25">
        <f>IF(G128="","",IF(G128=1,"1°","2°"))</f>
        <v/>
      </c>
      <c r="R128" s="25">
        <f>IF(B128="","",TEXT(B128,"mmm-yyyy"))</f>
        <v/>
      </c>
    </row>
    <row r="129" ht="15.75" customHeight="1" s="54">
      <c r="A129" s="48" t="n">
        <v>128</v>
      </c>
      <c r="B129" s="24" t="n">
        <v>46270</v>
      </c>
      <c r="C129" s="48" t="inlineStr">
        <is>
          <t>TEF-PBL</t>
        </is>
      </c>
      <c r="D129" s="48" t="inlineStr">
        <is>
          <t>Dragapult ex Dusknoir</t>
        </is>
      </c>
      <c r="E129" s="48" t="inlineStr">
        <is>
          <t>PultNoir v1</t>
        </is>
      </c>
      <c r="F129" s="48" t="inlineStr">
        <is>
          <t>MegaSharpedo ex</t>
        </is>
      </c>
      <c r="G129" s="48" t="n">
        <v>1</v>
      </c>
      <c r="H129" s="48" t="inlineStr">
        <is>
          <t>W</t>
        </is>
      </c>
      <c r="I129" s="48" t="n"/>
      <c r="J129" s="48" t="inlineStr">
        <is>
          <t>TCGLive</t>
        </is>
      </c>
      <c r="K129" s="48" t="inlineStr">
        <is>
          <t>Boss su toxtricity per guadagnare tempo sui brutti start</t>
        </is>
      </c>
      <c r="L129" s="25">
        <f>IF(D129="","",IF(H129="W",1,IF(H129="L",0,"")))</f>
        <v/>
      </c>
      <c r="M129" s="25">
        <f>IF(D129="","",COUNTIFS($D$2:D129,D129))</f>
        <v/>
      </c>
      <c r="N129" s="25">
        <f>IF(D129="","",D129&amp;"|"&amp;M129)</f>
        <v/>
      </c>
      <c r="O129" s="25">
        <f>IF(D129="","",COUNTIFS($D$2:D129,D129,$H$2:H129,"W"))</f>
        <v/>
      </c>
      <c r="P129" s="26">
        <f>IF(D129="","",IFERROR(O129/M129,""))</f>
        <v/>
      </c>
      <c r="Q129" s="25">
        <f>IF(G129="","",IF(G129=1,"1°","2°"))</f>
        <v/>
      </c>
      <c r="R129" s="25">
        <f>IF(B129="","",TEXT(B129,"mmm-yyyy"))</f>
        <v/>
      </c>
    </row>
    <row r="130" ht="15.75" customHeight="1" s="54">
      <c r="A130" s="44" t="n">
        <v>129</v>
      </c>
      <c r="B130" s="42" t="n">
        <v>46271</v>
      </c>
      <c r="C130" s="44" t="inlineStr">
        <is>
          <t>TEF-PBL</t>
        </is>
      </c>
      <c r="D130" s="44" t="inlineStr">
        <is>
          <t>Alakazam Dusknoir</t>
        </is>
      </c>
      <c r="E130" s="44" t="inlineStr">
        <is>
          <t>ZamNoir</t>
        </is>
      </c>
      <c r="F130" s="44" t="inlineStr">
        <is>
          <t>Area Della Festa</t>
        </is>
      </c>
      <c r="G130" s="44" t="n">
        <v>1</v>
      </c>
      <c r="H130" s="44" t="inlineStr">
        <is>
          <t>W</t>
        </is>
      </c>
      <c r="I130" s="44" t="n"/>
      <c r="J130" s="44" t="inlineStr">
        <is>
          <t>TCGLive</t>
        </is>
      </c>
      <c r="K130" s="44" t="n"/>
      <c r="L130" s="25">
        <f>IF(D130="","",IF(H130="W",1,IF(H130="L",0,"")))</f>
        <v/>
      </c>
      <c r="M130" s="25">
        <f>IF(D130="","",COUNTIFS($D$2:D130,D130))</f>
        <v/>
      </c>
      <c r="N130" s="25">
        <f>IF(D130="","",D130&amp;"|"&amp;M130)</f>
        <v/>
      </c>
      <c r="O130" s="25">
        <f>IF(D130="","",COUNTIFS($D$2:D130,D130,$H$2:H130,"W"))</f>
        <v/>
      </c>
      <c r="P130" s="26">
        <f>IF(D130="","",IFERROR(O130/M130,""))</f>
        <v/>
      </c>
      <c r="Q130" s="25">
        <f>IF(G130="","",IF(G130=1,"1°","2°"))</f>
        <v/>
      </c>
      <c r="R130" s="25">
        <f>IF(B130="","",TEXT(B130,"mmm-yyyy"))</f>
        <v/>
      </c>
    </row>
    <row r="131" ht="15.75" customHeight="1" s="54">
      <c r="A131" s="48" t="n">
        <v>130</v>
      </c>
      <c r="B131" s="24" t="n">
        <v>46271</v>
      </c>
      <c r="C131" s="48" t="inlineStr">
        <is>
          <t>TEF-PBL</t>
        </is>
      </c>
      <c r="D131" s="48" t="inlineStr">
        <is>
          <t>Alakazam Dusknoir</t>
        </is>
      </c>
      <c r="E131" s="48" t="inlineStr">
        <is>
          <t>ZamNoir</t>
        </is>
      </c>
      <c r="F131" s="48" t="inlineStr">
        <is>
          <t>Area Della Festa</t>
        </is>
      </c>
      <c r="G131" s="48" t="n">
        <v>1</v>
      </c>
      <c r="H131" s="48" t="inlineStr">
        <is>
          <t>W</t>
        </is>
      </c>
      <c r="I131" s="48" t="n"/>
      <c r="J131" s="48" t="inlineStr">
        <is>
          <t>TCGLive</t>
        </is>
      </c>
      <c r="K131" s="48" t="n"/>
      <c r="L131" s="25">
        <f>IF(D131="","",IF(H131="W",1,IF(H131="L",0,"")))</f>
        <v/>
      </c>
      <c r="M131" s="25">
        <f>IF(D131="","",COUNTIFS($D$2:D131,D131))</f>
        <v/>
      </c>
      <c r="N131" s="25">
        <f>IF(D131="","",D131&amp;"|"&amp;M131)</f>
        <v/>
      </c>
      <c r="O131" s="25">
        <f>IF(D131="","",COUNTIFS($D$2:D131,D131,$H$2:H131,"W"))</f>
        <v/>
      </c>
      <c r="P131" s="26">
        <f>IF(D131="","",IFERROR(O131/M131,""))</f>
        <v/>
      </c>
      <c r="Q131" s="25">
        <f>IF(G131="","",IF(G131=1,"1°","2°"))</f>
        <v/>
      </c>
      <c r="R131" s="25">
        <f>IF(B131="","",TEXT(B131,"mmm-yyyy"))</f>
        <v/>
      </c>
    </row>
    <row r="132" ht="15.75" customHeight="1" s="54">
      <c r="A132" s="44" t="n">
        <v>131</v>
      </c>
      <c r="B132" s="42" t="n">
        <v>46271</v>
      </c>
      <c r="C132" s="44" t="inlineStr">
        <is>
          <t>TEF-PBL</t>
        </is>
      </c>
      <c r="D132" s="44" t="inlineStr">
        <is>
          <t>Alakazam Dusknoir</t>
        </is>
      </c>
      <c r="E132" s="44" t="inlineStr">
        <is>
          <t>ZamNoir</t>
        </is>
      </c>
      <c r="F132" s="44" t="inlineStr">
        <is>
          <t>Crusle</t>
        </is>
      </c>
      <c r="G132" s="44" t="n">
        <v>2</v>
      </c>
      <c r="H132" s="44" t="inlineStr">
        <is>
          <t>L</t>
        </is>
      </c>
      <c r="I132" s="44" t="n"/>
      <c r="J132" s="44" t="inlineStr">
        <is>
          <t>TCGLive</t>
        </is>
      </c>
      <c r="K132" s="44" t="n"/>
      <c r="L132" s="25">
        <f>IF(D132="","",IF(H132="W",1,IF(H132="L",0,"")))</f>
        <v/>
      </c>
      <c r="M132" s="25">
        <f>IF(D132="","",COUNTIFS($D$2:D132,D132))</f>
        <v/>
      </c>
      <c r="N132" s="25">
        <f>IF(D132="","",D132&amp;"|"&amp;M132)</f>
        <v/>
      </c>
      <c r="O132" s="25">
        <f>IF(D132="","",COUNTIFS($D$2:D132,D132,$H$2:H132,"W"))</f>
        <v/>
      </c>
      <c r="P132" s="26">
        <f>IF(D132="","",IFERROR(O132/M132,""))</f>
        <v/>
      </c>
      <c r="Q132" s="25">
        <f>IF(G132="","",IF(G132=1,"1°","2°"))</f>
        <v/>
      </c>
      <c r="R132" s="25">
        <f>IF(B132="","",TEXT(B132,"mmm-yyyy"))</f>
        <v/>
      </c>
    </row>
    <row r="133" ht="15.75" customHeight="1" s="54">
      <c r="A133" s="48" t="n">
        <v>132</v>
      </c>
      <c r="B133" s="24" t="n">
        <v>46271</v>
      </c>
      <c r="C133" s="48" t="inlineStr">
        <is>
          <t>TEF-PBL</t>
        </is>
      </c>
      <c r="D133" s="48" t="inlineStr">
        <is>
          <t>Alakazam Dusknoir</t>
        </is>
      </c>
      <c r="E133" s="48" t="inlineStr">
        <is>
          <t>ZamNoir</t>
        </is>
      </c>
      <c r="F133" s="48" t="inlineStr">
        <is>
          <t>Alakazam Dudunsparce</t>
        </is>
      </c>
      <c r="G133" s="48" t="n">
        <v>2</v>
      </c>
      <c r="H133" s="48" t="inlineStr">
        <is>
          <t>L</t>
        </is>
      </c>
      <c r="I133" s="48" t="n"/>
      <c r="J133" s="48" t="inlineStr">
        <is>
          <t>TCGLive</t>
        </is>
      </c>
      <c r="K133" s="48" t="n"/>
      <c r="L133" s="25">
        <f>IF(D133="","",IF(H133="W",1,IF(H133="L",0,"")))</f>
        <v/>
      </c>
      <c r="M133" s="25">
        <f>IF(D133="","",COUNTIFS($D$2:D133,D133))</f>
        <v/>
      </c>
      <c r="N133" s="25">
        <f>IF(D133="","",D133&amp;"|"&amp;M133)</f>
        <v/>
      </c>
      <c r="O133" s="25">
        <f>IF(D133="","",COUNTIFS($D$2:D133,D133,$H$2:H133,"W"))</f>
        <v/>
      </c>
      <c r="P133" s="26">
        <f>IF(D133="","",IFERROR(O133/M133,""))</f>
        <v/>
      </c>
      <c r="Q133" s="25">
        <f>IF(G133="","",IF(G133=1,"1°","2°"))</f>
        <v/>
      </c>
      <c r="R133" s="25">
        <f>IF(B133="","",TEXT(B133,"mmm-yyyy"))</f>
        <v/>
      </c>
    </row>
    <row r="134" ht="15.75" customHeight="1" s="54">
      <c r="A134" s="44" t="n">
        <v>133</v>
      </c>
      <c r="B134" s="42" t="n">
        <v>46271</v>
      </c>
      <c r="C134" s="44" t="inlineStr">
        <is>
          <t>TEF-PBL</t>
        </is>
      </c>
      <c r="D134" s="44" t="inlineStr">
        <is>
          <t>Alakazam Dusknoir</t>
        </is>
      </c>
      <c r="E134" s="44" t="inlineStr">
        <is>
          <t>ZamNoir</t>
        </is>
      </c>
      <c r="F134" s="44" t="inlineStr">
        <is>
          <t>Dragapult ex</t>
        </is>
      </c>
      <c r="G134" s="44" t="n">
        <v>1</v>
      </c>
      <c r="H134" s="44" t="inlineStr">
        <is>
          <t>W</t>
        </is>
      </c>
      <c r="I134" s="44" t="n"/>
      <c r="J134" s="44" t="inlineStr">
        <is>
          <t>TCGLive</t>
        </is>
      </c>
      <c r="K134" s="44" t="n"/>
      <c r="L134" s="25">
        <f>IF(D134="","",IF(H134="W",1,IF(H134="L",0,"")))</f>
        <v/>
      </c>
      <c r="M134" s="25">
        <f>IF(D134="","",COUNTIFS($D$2:D134,D134))</f>
        <v/>
      </c>
      <c r="N134" s="25">
        <f>IF(D134="","",D134&amp;"|"&amp;M134)</f>
        <v/>
      </c>
      <c r="O134" s="25">
        <f>IF(D134="","",COUNTIFS($D$2:D134,D134,$H$2:H134,"W"))</f>
        <v/>
      </c>
      <c r="P134" s="26">
        <f>IF(D134="","",IFERROR(O134/M134,""))</f>
        <v/>
      </c>
      <c r="Q134" s="25">
        <f>IF(G134="","",IF(G134=1,"1°","2°"))</f>
        <v/>
      </c>
      <c r="R134" s="25">
        <f>IF(B134="","",TEXT(B134,"mmm-yyyy"))</f>
        <v/>
      </c>
    </row>
    <row r="135" ht="15.75" customHeight="1" s="54">
      <c r="A135" s="48" t="n">
        <v>134</v>
      </c>
      <c r="B135" s="24" t="n">
        <v>46271</v>
      </c>
      <c r="C135" s="48" t="inlineStr">
        <is>
          <t>TEF-PBL</t>
        </is>
      </c>
      <c r="D135" s="48" t="inlineStr">
        <is>
          <t>Alakazam Dusknoir</t>
        </is>
      </c>
      <c r="E135" s="48" t="inlineStr">
        <is>
          <t>ZamNoir</t>
        </is>
      </c>
      <c r="F135" s="48" t="inlineStr">
        <is>
          <t>Dragapult ex</t>
        </is>
      </c>
      <c r="G135" s="48" t="n">
        <v>1</v>
      </c>
      <c r="H135" s="48" t="inlineStr">
        <is>
          <t>W</t>
        </is>
      </c>
      <c r="I135" s="48" t="n"/>
      <c r="J135" s="48" t="inlineStr">
        <is>
          <t>TCGLive</t>
        </is>
      </c>
      <c r="K135" s="48" t="n"/>
      <c r="L135" s="25">
        <f>IF(D135="","",IF(H135="W",1,IF(H135="L",0,"")))</f>
        <v/>
      </c>
      <c r="M135" s="25">
        <f>IF(D135="","",COUNTIFS($D$2:D135,D135))</f>
        <v/>
      </c>
      <c r="N135" s="25">
        <f>IF(D135="","",D135&amp;"|"&amp;M135)</f>
        <v/>
      </c>
      <c r="O135" s="25">
        <f>IF(D135="","",COUNTIFS($D$2:D135,D135,$H$2:H135,"W"))</f>
        <v/>
      </c>
      <c r="P135" s="26">
        <f>IF(D135="","",IFERROR(O135/M135,""))</f>
        <v/>
      </c>
      <c r="Q135" s="25">
        <f>IF(G135="","",IF(G135=1,"1°","2°"))</f>
        <v/>
      </c>
      <c r="R135" s="25">
        <f>IF(B135="","",TEXT(B135,"mmm-yyyy"))</f>
        <v/>
      </c>
    </row>
    <row r="136" ht="15.75" customHeight="1" s="54">
      <c r="A136" s="44" t="n">
        <v>135</v>
      </c>
      <c r="B136" s="42" t="n">
        <v>46271</v>
      </c>
      <c r="C136" s="44" t="inlineStr">
        <is>
          <t>TEF-PBL</t>
        </is>
      </c>
      <c r="D136" s="44" t="inlineStr">
        <is>
          <t>Alakazam Dusknoir</t>
        </is>
      </c>
      <c r="E136" s="44" t="inlineStr">
        <is>
          <t>ZamNoir</t>
        </is>
      </c>
      <c r="F136" s="44" t="inlineStr">
        <is>
          <t>MegaGreninja ex Drakloak</t>
        </is>
      </c>
      <c r="G136" s="44" t="n">
        <v>1</v>
      </c>
      <c r="H136" s="44" t="inlineStr">
        <is>
          <t>W</t>
        </is>
      </c>
      <c r="I136" s="44" t="n"/>
      <c r="J136" s="44" t="inlineStr">
        <is>
          <t>TCGLive</t>
        </is>
      </c>
      <c r="K136" s="44" t="n"/>
      <c r="L136" s="25">
        <f>IF(D136="","",IF(H136="W",1,IF(H136="L",0,"")))</f>
        <v/>
      </c>
      <c r="M136" s="25">
        <f>IF(D136="","",COUNTIFS($D$2:D136,D136))</f>
        <v/>
      </c>
      <c r="N136" s="25">
        <f>IF(D136="","",D136&amp;"|"&amp;M136)</f>
        <v/>
      </c>
      <c r="O136" s="25">
        <f>IF(D136="","",COUNTIFS($D$2:D136,D136,$H$2:H136,"W"))</f>
        <v/>
      </c>
      <c r="P136" s="26">
        <f>IF(D136="","",IFERROR(O136/M136,""))</f>
        <v/>
      </c>
      <c r="Q136" s="25">
        <f>IF(G136="","",IF(G136=1,"1°","2°"))</f>
        <v/>
      </c>
      <c r="R136" s="25">
        <f>IF(B136="","",TEXT(B136,"mmm-yyyy"))</f>
        <v/>
      </c>
    </row>
    <row r="137" ht="15.75" customHeight="1" s="54">
      <c r="A137" s="48" t="n">
        <v>136</v>
      </c>
      <c r="B137" s="24" t="n">
        <v>46271</v>
      </c>
      <c r="C137" s="48" t="inlineStr">
        <is>
          <t>TEF-PBL</t>
        </is>
      </c>
      <c r="D137" s="48" t="inlineStr">
        <is>
          <t>Alakazam Dusknoir</t>
        </is>
      </c>
      <c r="E137" s="48" t="inlineStr">
        <is>
          <t>ZamNoir</t>
        </is>
      </c>
      <c r="F137" s="48" t="inlineStr">
        <is>
          <t>Dragapult ex Dusknoir</t>
        </is>
      </c>
      <c r="G137" s="48" t="n">
        <v>2</v>
      </c>
      <c r="H137" s="48" t="inlineStr">
        <is>
          <t>W</t>
        </is>
      </c>
      <c r="I137" s="48" t="n"/>
      <c r="J137" s="48" t="inlineStr">
        <is>
          <t>TCGLive</t>
        </is>
      </c>
      <c r="K137" s="48" t="n"/>
      <c r="L137" s="25">
        <f>IF(D137="","",IF(H137="W",1,IF(H137="L",0,"")))</f>
        <v/>
      </c>
      <c r="M137" s="25">
        <f>IF(D137="","",COUNTIFS($D$2:D137,D137))</f>
        <v/>
      </c>
      <c r="N137" s="25">
        <f>IF(D137="","",D137&amp;"|"&amp;M137)</f>
        <v/>
      </c>
      <c r="O137" s="25">
        <f>IF(D137="","",COUNTIFS($D$2:D137,D137,$H$2:H137,"W"))</f>
        <v/>
      </c>
      <c r="P137" s="26">
        <f>IF(D137="","",IFERROR(O137/M137,""))</f>
        <v/>
      </c>
      <c r="Q137" s="25">
        <f>IF(G137="","",IF(G137=1,"1°","2°"))</f>
        <v/>
      </c>
      <c r="R137" s="25">
        <f>IF(B137="","",TEXT(B137,"mmm-yyyy"))</f>
        <v/>
      </c>
    </row>
    <row r="138" ht="15.75" customHeight="1" s="54">
      <c r="A138" s="44" t="n">
        <v>137</v>
      </c>
      <c r="B138" s="42" t="n">
        <v>46271</v>
      </c>
      <c r="C138" s="44" t="inlineStr">
        <is>
          <t>TEF-PBL</t>
        </is>
      </c>
      <c r="D138" s="44" t="inlineStr">
        <is>
          <t>Alakazam Dusknoir</t>
        </is>
      </c>
      <c r="E138" s="44" t="inlineStr">
        <is>
          <t>ZamNoir</t>
        </is>
      </c>
      <c r="F138" s="44" t="inlineStr">
        <is>
          <t>Slowking</t>
        </is>
      </c>
      <c r="G138" s="44" t="n">
        <v>1</v>
      </c>
      <c r="H138" s="44" t="inlineStr">
        <is>
          <t>W</t>
        </is>
      </c>
      <c r="I138" s="44" t="n"/>
      <c r="J138" s="44" t="inlineStr">
        <is>
          <t>TCGLive</t>
        </is>
      </c>
      <c r="K138" s="44" t="inlineStr">
        <is>
          <t>Esplodi su quello che sta cercando di caricare e vai di budew</t>
        </is>
      </c>
      <c r="L138" s="25">
        <f>IF(D138="","",IF(H138="W",1,IF(H138="L",0,"")))</f>
        <v/>
      </c>
      <c r="M138" s="25">
        <f>IF(D138="","",COUNTIFS($D$2:D138,D138))</f>
        <v/>
      </c>
      <c r="N138" s="25">
        <f>IF(D138="","",D138&amp;"|"&amp;M138)</f>
        <v/>
      </c>
      <c r="O138" s="25">
        <f>IF(D138="","",COUNTIFS($D$2:D138,D138,$H$2:H138,"W"))</f>
        <v/>
      </c>
      <c r="P138" s="26">
        <f>IF(D138="","",IFERROR(O138/M138,""))</f>
        <v/>
      </c>
      <c r="Q138" s="25">
        <f>IF(G138="","",IF(G138=1,"1°","2°"))</f>
        <v/>
      </c>
      <c r="R138" s="25">
        <f>IF(B138="","",TEXT(B138,"mmm-yyyy"))</f>
        <v/>
      </c>
    </row>
    <row r="139" ht="15.75" customHeight="1" s="54">
      <c r="A139" s="48" t="n">
        <v>138</v>
      </c>
      <c r="B139" s="24" t="n">
        <v>46271</v>
      </c>
      <c r="C139" s="48" t="inlineStr">
        <is>
          <t>TEF-PBL</t>
        </is>
      </c>
      <c r="D139" s="48" t="inlineStr">
        <is>
          <t>Basic Box</t>
        </is>
      </c>
      <c r="E139" s="48" t="inlineStr">
        <is>
          <t>BB v1</t>
        </is>
      </c>
      <c r="F139" s="48" t="inlineStr">
        <is>
          <t>Slowking</t>
        </is>
      </c>
      <c r="G139" s="48" t="n">
        <v>2</v>
      </c>
      <c r="H139" s="48" t="inlineStr">
        <is>
          <t>W</t>
        </is>
      </c>
      <c r="I139" s="48" t="n"/>
      <c r="J139" s="48" t="inlineStr">
        <is>
          <t>TCGLive</t>
        </is>
      </c>
      <c r="K139" s="48" t="n"/>
      <c r="L139" s="25">
        <f>IF(D139="","",IF(H139="W",1,IF(H139="L",0,"")))</f>
        <v/>
      </c>
      <c r="M139" s="25">
        <f>IF(D139="","",COUNTIFS($D$2:D139,D139))</f>
        <v/>
      </c>
      <c r="N139" s="25">
        <f>IF(D139="","",D139&amp;"|"&amp;M139)</f>
        <v/>
      </c>
      <c r="O139" s="25">
        <f>IF(D139="","",COUNTIFS($D$2:D139,D139,$H$2:H139,"W"))</f>
        <v/>
      </c>
      <c r="P139" s="26">
        <f>IF(D139="","",IFERROR(O139/M139,""))</f>
        <v/>
      </c>
      <c r="Q139" s="25">
        <f>IF(G139="","",IF(G139=1,"1°","2°"))</f>
        <v/>
      </c>
      <c r="R139" s="25">
        <f>IF(B139="","",TEXT(B139,"mmm-yyyy"))</f>
        <v/>
      </c>
    </row>
    <row r="140" ht="15.75" customHeight="1" s="54">
      <c r="A140" s="44" t="n">
        <v>139</v>
      </c>
      <c r="B140" s="42" t="n">
        <v>46271</v>
      </c>
      <c r="C140" s="44" t="inlineStr">
        <is>
          <t>TEF-PBL</t>
        </is>
      </c>
      <c r="D140" s="44" t="inlineStr">
        <is>
          <t>Basic Box</t>
        </is>
      </c>
      <c r="E140" s="44" t="inlineStr">
        <is>
          <t>BB v1</t>
        </is>
      </c>
      <c r="F140" s="44" t="inlineStr">
        <is>
          <t>Dragapult ex Dusknoir</t>
        </is>
      </c>
      <c r="G140" s="44" t="n">
        <v>2</v>
      </c>
      <c r="H140" s="44" t="inlineStr">
        <is>
          <t>W</t>
        </is>
      </c>
      <c r="I140" s="44" t="n"/>
      <c r="J140" s="44" t="inlineStr">
        <is>
          <t>TCGLive</t>
        </is>
      </c>
      <c r="K140" s="44" t="inlineStr">
        <is>
          <t>forte peach su fez</t>
        </is>
      </c>
      <c r="L140" s="25">
        <f>IF(D140="","",IF(H140="W",1,IF(H140="L",0,"")))</f>
        <v/>
      </c>
      <c r="M140" s="25">
        <f>IF(D140="","",COUNTIFS($D$2:D140,D140))</f>
        <v/>
      </c>
      <c r="N140" s="25">
        <f>IF(D140="","",D140&amp;"|"&amp;M140)</f>
        <v/>
      </c>
      <c r="O140" s="25">
        <f>IF(D140="","",COUNTIFS($D$2:D140,D140,$H$2:H140,"W"))</f>
        <v/>
      </c>
      <c r="P140" s="26">
        <f>IF(D140="","",IFERROR(O140/M140,""))</f>
        <v/>
      </c>
      <c r="Q140" s="25">
        <f>IF(G140="","",IF(G140=1,"1°","2°"))</f>
        <v/>
      </c>
      <c r="R140" s="25">
        <f>IF(B140="","",TEXT(B140,"mmm-yyyy"))</f>
        <v/>
      </c>
    </row>
    <row r="141" ht="15.75" customHeight="1" s="54">
      <c r="A141" s="48" t="n">
        <v>140</v>
      </c>
      <c r="B141" s="24" t="n">
        <v>46272</v>
      </c>
      <c r="C141" s="48" t="inlineStr">
        <is>
          <t>TEF-PBL</t>
        </is>
      </c>
      <c r="D141" s="48" t="inlineStr">
        <is>
          <t>Alakazam Dusknoir</t>
        </is>
      </c>
      <c r="E141" s="48" t="inlineStr">
        <is>
          <t>ZamNoir</t>
        </is>
      </c>
      <c r="F141" s="48" t="inlineStr">
        <is>
          <t>Garchomp ex</t>
        </is>
      </c>
      <c r="G141" s="48" t="n">
        <v>1</v>
      </c>
      <c r="H141" s="48" t="inlineStr">
        <is>
          <t>W</t>
        </is>
      </c>
      <c r="I141" s="48" t="n"/>
      <c r="J141" s="48" t="inlineStr">
        <is>
          <t>TCGLive</t>
        </is>
      </c>
      <c r="K141" s="48" t="n"/>
      <c r="L141" s="25">
        <f>IF(D141="","",IF(H141="W",1,IF(H141="L",0,"")))</f>
        <v/>
      </c>
      <c r="M141" s="25">
        <f>IF(D141="","",COUNTIFS($D$2:D141,D141))</f>
        <v/>
      </c>
      <c r="N141" s="25">
        <f>IF(D141="","",D141&amp;"|"&amp;M141)</f>
        <v/>
      </c>
      <c r="O141" s="25">
        <f>IF(D141="","",COUNTIFS($D$2:D141,D141,$H$2:H141,"W"))</f>
        <v/>
      </c>
      <c r="P141" s="26">
        <f>IF(D141="","",IFERROR(O141/M141,""))</f>
        <v/>
      </c>
      <c r="Q141" s="25">
        <f>IF(G141="","",IF(G141=1,"1°","2°"))</f>
        <v/>
      </c>
      <c r="R141" s="25">
        <f>IF(B141="","",TEXT(B141,"mmm-yyyy"))</f>
        <v/>
      </c>
    </row>
    <row r="142" ht="15.75" customHeight="1" s="54">
      <c r="A142" s="44" t="n">
        <v>141</v>
      </c>
      <c r="B142" s="42" t="n">
        <v>46272</v>
      </c>
      <c r="C142" s="44" t="inlineStr">
        <is>
          <t>TEF-PBL</t>
        </is>
      </c>
      <c r="D142" s="44" t="inlineStr">
        <is>
          <t>Alakazam Dusknoir</t>
        </is>
      </c>
      <c r="E142" s="44" t="inlineStr">
        <is>
          <t>ZamNoir</t>
        </is>
      </c>
      <c r="F142" s="44" t="inlineStr">
        <is>
          <t>Pikachu ex box</t>
        </is>
      </c>
      <c r="G142" s="44" t="n">
        <v>2</v>
      </c>
      <c r="H142" s="44" t="inlineStr">
        <is>
          <t>W</t>
        </is>
      </c>
      <c r="I142" s="44" t="n"/>
      <c r="J142" s="44" t="inlineStr">
        <is>
          <t>TCGLive</t>
        </is>
      </c>
      <c r="K142" s="44" t="n"/>
      <c r="L142" s="25">
        <f>IF(D142="","",IF(H142="W",1,IF(H142="L",0,"")))</f>
        <v/>
      </c>
      <c r="M142" s="25">
        <f>IF(D142="","",COUNTIFS($D$2:D142,D142))</f>
        <v/>
      </c>
      <c r="N142" s="25">
        <f>IF(D142="","",D142&amp;"|"&amp;M142)</f>
        <v/>
      </c>
      <c r="O142" s="25">
        <f>IF(D142="","",COUNTIFS($D$2:D142,D142,$H$2:H142,"W"))</f>
        <v/>
      </c>
      <c r="P142" s="26">
        <f>IF(D142="","",IFERROR(O142/M142,""))</f>
        <v/>
      </c>
      <c r="Q142" s="25">
        <f>IF(G142="","",IF(G142=1,"1°","2°"))</f>
        <v/>
      </c>
      <c r="R142" s="25">
        <f>IF(B142="","",TEXT(B142,"mmm-yyyy"))</f>
        <v/>
      </c>
    </row>
    <row r="143" ht="15.75" customHeight="1" s="54">
      <c r="A143" s="48" t="n">
        <v>142</v>
      </c>
      <c r="B143" s="24" t="n">
        <v>46272</v>
      </c>
      <c r="C143" s="48" t="inlineStr">
        <is>
          <t>TEF-PBL</t>
        </is>
      </c>
      <c r="D143" s="48" t="inlineStr">
        <is>
          <t>Alakazam Dusknoir</t>
        </is>
      </c>
      <c r="E143" s="48" t="inlineStr">
        <is>
          <t>ZamNoir</t>
        </is>
      </c>
      <c r="F143" s="48" t="inlineStr">
        <is>
          <t>Raging Bolt</t>
        </is>
      </c>
      <c r="G143" s="48" t="n">
        <v>1</v>
      </c>
      <c r="H143" s="48" t="inlineStr">
        <is>
          <t>L</t>
        </is>
      </c>
      <c r="I143" s="48" t="n"/>
      <c r="J143" s="48" t="inlineStr">
        <is>
          <t>TCGLive</t>
        </is>
      </c>
      <c r="K143" s="48" t="n"/>
      <c r="L143" s="25">
        <f>IF(D143="","",IF(H143="W",1,IF(H143="L",0,"")))</f>
        <v/>
      </c>
      <c r="M143" s="25">
        <f>IF(D143="","",COUNTIFS($D$2:D143,D143))</f>
        <v/>
      </c>
      <c r="N143" s="25">
        <f>IF(D143="","",D143&amp;"|"&amp;M143)</f>
        <v/>
      </c>
      <c r="O143" s="25">
        <f>IF(D143="","",COUNTIFS($D$2:D143,D143,$H$2:H143,"W"))</f>
        <v/>
      </c>
      <c r="P143" s="26">
        <f>IF(D143="","",IFERROR(O143/M143,""))</f>
        <v/>
      </c>
      <c r="Q143" s="25">
        <f>IF(G143="","",IF(G143=1,"1°","2°"))</f>
        <v/>
      </c>
      <c r="R143" s="25">
        <f>IF(B143="","",TEXT(B143,"mmm-yyyy"))</f>
        <v/>
      </c>
    </row>
    <row r="144" ht="15.75" customHeight="1" s="54">
      <c r="A144" s="44" t="n">
        <v>143</v>
      </c>
      <c r="B144" s="42" t="n">
        <v>46272</v>
      </c>
      <c r="C144" s="44" t="inlineStr">
        <is>
          <t>TEF-PBL</t>
        </is>
      </c>
      <c r="D144" s="44" t="inlineStr">
        <is>
          <t>Alakazam Dusknoir</t>
        </is>
      </c>
      <c r="E144" s="44" t="inlineStr">
        <is>
          <t>ZamNoir</t>
        </is>
      </c>
      <c r="F144" s="44" t="inlineStr">
        <is>
          <t>Dragapult ex</t>
        </is>
      </c>
      <c r="G144" s="44" t="n">
        <v>2</v>
      </c>
      <c r="H144" s="44" t="inlineStr">
        <is>
          <t>L</t>
        </is>
      </c>
      <c r="I144" s="44" t="n"/>
      <c r="J144" s="44" t="inlineStr">
        <is>
          <t>TCGLive</t>
        </is>
      </c>
      <c r="K144" s="44" t="n"/>
      <c r="L144" s="25">
        <f>IF(D144="","",IF(H144="W",1,IF(H144="L",0,"")))</f>
        <v/>
      </c>
      <c r="M144" s="25">
        <f>IF(D144="","",COUNTIFS($D$2:D144,D144))</f>
        <v/>
      </c>
      <c r="N144" s="25">
        <f>IF(D144="","",D144&amp;"|"&amp;M144)</f>
        <v/>
      </c>
      <c r="O144" s="25">
        <f>IF(D144="","",COUNTIFS($D$2:D144,D144,$H$2:H144,"W"))</f>
        <v/>
      </c>
      <c r="P144" s="26">
        <f>IF(D144="","",IFERROR(O144/M144,""))</f>
        <v/>
      </c>
      <c r="Q144" s="25">
        <f>IF(G144="","",IF(G144=1,"1°","2°"))</f>
        <v/>
      </c>
      <c r="R144" s="25">
        <f>IF(B144="","",TEXT(B144,"mmm-yyyy"))</f>
        <v/>
      </c>
    </row>
    <row r="145" ht="15.75" customHeight="1" s="54">
      <c r="A145" s="48" t="n">
        <v>144</v>
      </c>
      <c r="B145" s="24" t="n">
        <v>46272</v>
      </c>
      <c r="C145" s="48" t="inlineStr">
        <is>
          <t>TEF-PBL</t>
        </is>
      </c>
      <c r="D145" s="48" t="inlineStr">
        <is>
          <t>Alakazam Dusknoir</t>
        </is>
      </c>
      <c r="E145" s="48" t="inlineStr">
        <is>
          <t>ZamNoir</t>
        </is>
      </c>
      <c r="F145" s="48" t="inlineStr">
        <is>
          <t>Dragapult ex</t>
        </is>
      </c>
      <c r="G145" s="48" t="n">
        <v>2</v>
      </c>
      <c r="H145" s="48" t="inlineStr">
        <is>
          <t>W</t>
        </is>
      </c>
      <c r="I145" s="48" t="n"/>
      <c r="J145" s="48" t="inlineStr">
        <is>
          <t>TCGLive</t>
        </is>
      </c>
      <c r="K145" s="48" t="n"/>
      <c r="L145" s="25">
        <f>IF(D145="","",IF(H145="W",1,IF(H145="L",0,"")))</f>
        <v/>
      </c>
      <c r="M145" s="25">
        <f>IF(D145="","",COUNTIFS($D$2:D145,D145))</f>
        <v/>
      </c>
      <c r="N145" s="25">
        <f>IF(D145="","",D145&amp;"|"&amp;M145)</f>
        <v/>
      </c>
      <c r="O145" s="25">
        <f>IF(D145="","",COUNTIFS($D$2:D145,D145,$H$2:H145,"W"))</f>
        <v/>
      </c>
      <c r="P145" s="26">
        <f>IF(D145="","",IFERROR(O145/M145,""))</f>
        <v/>
      </c>
      <c r="Q145" s="25">
        <f>IF(G145="","",IF(G145=1,"1°","2°"))</f>
        <v/>
      </c>
      <c r="R145" s="25">
        <f>IF(B145="","",TEXT(B145,"mmm-yyyy"))</f>
        <v/>
      </c>
    </row>
    <row r="146" ht="15.75" customHeight="1" s="54">
      <c r="A146" s="44" t="n">
        <v>145</v>
      </c>
      <c r="B146" s="42" t="n">
        <v>46272</v>
      </c>
      <c r="C146" s="44" t="inlineStr">
        <is>
          <t>TEF-PBL</t>
        </is>
      </c>
      <c r="D146" s="44" t="inlineStr">
        <is>
          <t>Alakazam Dusknoir</t>
        </is>
      </c>
      <c r="E146" s="44" t="inlineStr">
        <is>
          <t>ZamNoir</t>
        </is>
      </c>
      <c r="F146" s="44" t="inlineStr">
        <is>
          <t>Slowking</t>
        </is>
      </c>
      <c r="G146" s="44" t="n">
        <v>1</v>
      </c>
      <c r="H146" s="44" t="inlineStr">
        <is>
          <t>W</t>
        </is>
      </c>
      <c r="I146" s="44" t="n"/>
      <c r="J146" s="44" t="inlineStr">
        <is>
          <t>TCGLive</t>
        </is>
      </c>
      <c r="K146" s="44" t="n"/>
      <c r="L146" s="25">
        <f>IF(D146="","",IF(H146="W",1,IF(H146="L",0,"")))</f>
        <v/>
      </c>
      <c r="M146" s="25">
        <f>IF(D146="","",COUNTIFS($D$2:D146,D146))</f>
        <v/>
      </c>
      <c r="N146" s="25">
        <f>IF(D146="","",D146&amp;"|"&amp;M146)</f>
        <v/>
      </c>
      <c r="O146" s="25">
        <f>IF(D146="","",COUNTIFS($D$2:D146,D146,$H$2:H146,"W"))</f>
        <v/>
      </c>
      <c r="P146" s="26">
        <f>IF(D146="","",IFERROR(O146/M146,""))</f>
        <v/>
      </c>
      <c r="Q146" s="25">
        <f>IF(G146="","",IF(G146=1,"1°","2°"))</f>
        <v/>
      </c>
      <c r="R146" s="25">
        <f>IF(B146="","",TEXT(B146,"mmm-yyyy"))</f>
        <v/>
      </c>
    </row>
    <row r="147" ht="15.75" customHeight="1" s="54">
      <c r="A147" s="48" t="n">
        <v>146</v>
      </c>
      <c r="B147" s="24" t="n">
        <v>46273</v>
      </c>
      <c r="C147" s="48" t="inlineStr">
        <is>
          <t>TEF-PBL</t>
        </is>
      </c>
      <c r="D147" s="48" t="inlineStr">
        <is>
          <t>Alakazam Dusknoir</t>
        </is>
      </c>
      <c r="E147" s="48" t="inlineStr">
        <is>
          <t>ZamNoir</t>
        </is>
      </c>
      <c r="F147" s="48" t="inlineStr">
        <is>
          <t>MegaExcadrill ex</t>
        </is>
      </c>
      <c r="G147" s="48" t="n">
        <v>1</v>
      </c>
      <c r="H147" s="48" t="inlineStr">
        <is>
          <t>W</t>
        </is>
      </c>
      <c r="I147" s="48" t="n"/>
      <c r="J147" s="48" t="inlineStr">
        <is>
          <t>TCGLive</t>
        </is>
      </c>
      <c r="K147" s="48" t="n"/>
      <c r="L147" s="25">
        <f>IF(D147="","",IF(H147="W",1,IF(H147="L",0,"")))</f>
        <v/>
      </c>
      <c r="M147" s="25">
        <f>IF(D147="","",COUNTIFS($D$2:D147,D147))</f>
        <v/>
      </c>
      <c r="N147" s="25">
        <f>IF(D147="","",D147&amp;"|"&amp;M147)</f>
        <v/>
      </c>
      <c r="O147" s="25">
        <f>IF(D147="","",COUNTIFS($D$2:D147,D147,$H$2:H147,"W"))</f>
        <v/>
      </c>
      <c r="P147" s="26">
        <f>IF(D147="","",IFERROR(O147/M147,""))</f>
        <v/>
      </c>
      <c r="Q147" s="25">
        <f>IF(G147="","",IF(G147=1,"1°","2°"))</f>
        <v/>
      </c>
      <c r="R147" s="25">
        <f>IF(B147="","",TEXT(B147,"mmm-yyyy"))</f>
        <v/>
      </c>
    </row>
    <row r="148" ht="15.75" customHeight="1" s="54">
      <c r="A148" s="44" t="n">
        <v>147</v>
      </c>
      <c r="B148" s="42" t="n">
        <v>46273</v>
      </c>
      <c r="C148" s="44" t="inlineStr">
        <is>
          <t>TEF-PBL</t>
        </is>
      </c>
      <c r="D148" s="44" t="inlineStr">
        <is>
          <t>Alakazam Dusknoir</t>
        </is>
      </c>
      <c r="E148" s="44" t="inlineStr">
        <is>
          <t>ZamNoir</t>
        </is>
      </c>
      <c r="F148" s="44" t="inlineStr">
        <is>
          <t>Dragapult ex</t>
        </is>
      </c>
      <c r="G148" s="44" t="n">
        <v>1</v>
      </c>
      <c r="H148" s="44" t="inlineStr">
        <is>
          <t>L</t>
        </is>
      </c>
      <c r="I148" s="44" t="n"/>
      <c r="J148" s="44" t="inlineStr">
        <is>
          <t>TCGLive</t>
        </is>
      </c>
      <c r="K148" s="44" t="n"/>
      <c r="L148" s="25">
        <f>IF(D148="","",IF(H148="W",1,IF(H148="L",0,"")))</f>
        <v/>
      </c>
      <c r="M148" s="25">
        <f>IF(D148="","",COUNTIFS($D$2:D148,D148))</f>
        <v/>
      </c>
      <c r="N148" s="25">
        <f>IF(D148="","",D148&amp;"|"&amp;M148)</f>
        <v/>
      </c>
      <c r="O148" s="25">
        <f>IF(D148="","",COUNTIFS($D$2:D148,D148,$H$2:H148,"W"))</f>
        <v/>
      </c>
      <c r="P148" s="26">
        <f>IF(D148="","",IFERROR(O148/M148,""))</f>
        <v/>
      </c>
      <c r="Q148" s="25">
        <f>IF(G148="","",IF(G148=1,"1°","2°"))</f>
        <v/>
      </c>
      <c r="R148" s="25">
        <f>IF(B148="","",TEXT(B148,"mmm-yyyy"))</f>
        <v/>
      </c>
    </row>
    <row r="149" ht="15.75" customHeight="1" s="54">
      <c r="A149" s="48" t="n">
        <v>148</v>
      </c>
      <c r="B149" s="24" t="n">
        <v>46273</v>
      </c>
      <c r="C149" s="48" t="inlineStr">
        <is>
          <t>TEF-PBL</t>
        </is>
      </c>
      <c r="D149" s="48" t="inlineStr">
        <is>
          <t>Alakazam Dusknoir</t>
        </is>
      </c>
      <c r="E149" s="48" t="inlineStr">
        <is>
          <t>ZamNoir</t>
        </is>
      </c>
      <c r="F149" s="48" t="inlineStr">
        <is>
          <t>Dragapult ex</t>
        </is>
      </c>
      <c r="G149" s="48" t="n">
        <v>2</v>
      </c>
      <c r="H149" s="48" t="inlineStr">
        <is>
          <t>W</t>
        </is>
      </c>
      <c r="I149" s="48" t="n"/>
      <c r="J149" s="48" t="inlineStr">
        <is>
          <t>TCGLive</t>
        </is>
      </c>
      <c r="K149" s="48" t="n"/>
      <c r="L149" s="25">
        <f>IF(D149="","",IF(H149="W",1,IF(H149="L",0,"")))</f>
        <v/>
      </c>
      <c r="M149" s="25">
        <f>IF(D149="","",COUNTIFS($D$2:D149,D149))</f>
        <v/>
      </c>
      <c r="N149" s="25">
        <f>IF(D149="","",D149&amp;"|"&amp;M149)</f>
        <v/>
      </c>
      <c r="O149" s="25">
        <f>IF(D149="","",COUNTIFS($D$2:D149,D149,$H$2:H149,"W"))</f>
        <v/>
      </c>
      <c r="P149" s="26">
        <f>IF(D149="","",IFERROR(O149/M149,""))</f>
        <v/>
      </c>
      <c r="Q149" s="25">
        <f>IF(G149="","",IF(G149=1,"1°","2°"))</f>
        <v/>
      </c>
      <c r="R149" s="25">
        <f>IF(B149="","",TEXT(B149,"mmm-yyyy"))</f>
        <v/>
      </c>
    </row>
    <row r="150" ht="15.75" customHeight="1" s="54">
      <c r="A150" s="44" t="n">
        <v>149</v>
      </c>
      <c r="B150" s="42" t="n">
        <v>46273</v>
      </c>
      <c r="C150" s="44" t="inlineStr">
        <is>
          <t>TEF-PBL</t>
        </is>
      </c>
      <c r="D150" s="44" t="inlineStr">
        <is>
          <t>Alakazam Dusknoir</t>
        </is>
      </c>
      <c r="E150" s="44" t="inlineStr">
        <is>
          <t>ZamNoir</t>
        </is>
      </c>
      <c r="F150" s="44" t="inlineStr">
        <is>
          <t>Area Della Festa</t>
        </is>
      </c>
      <c r="G150" s="44" t="n">
        <v>2</v>
      </c>
      <c r="H150" s="44" t="inlineStr">
        <is>
          <t>W</t>
        </is>
      </c>
      <c r="I150" s="44" t="n"/>
      <c r="J150" s="44" t="inlineStr">
        <is>
          <t>TCGLive</t>
        </is>
      </c>
      <c r="K150" s="44" t="n"/>
      <c r="L150" s="25">
        <f>IF(D150="","",IF(H150="W",1,IF(H150="L",0,"")))</f>
        <v/>
      </c>
      <c r="M150" s="25">
        <f>IF(D150="","",COUNTIFS($D$2:D150,D150))</f>
        <v/>
      </c>
      <c r="N150" s="25">
        <f>IF(D150="","",D150&amp;"|"&amp;M150)</f>
        <v/>
      </c>
      <c r="O150" s="25">
        <f>IF(D150="","",COUNTIFS($D$2:D150,D150,$H$2:H150,"W"))</f>
        <v/>
      </c>
      <c r="P150" s="26">
        <f>IF(D150="","",IFERROR(O150/M150,""))</f>
        <v/>
      </c>
      <c r="Q150" s="25">
        <f>IF(G150="","",IF(G150=1,"1°","2°"))</f>
        <v/>
      </c>
      <c r="R150" s="25">
        <f>IF(B150="","",TEXT(B150,"mmm-yyyy"))</f>
        <v/>
      </c>
    </row>
    <row r="151" ht="15.75" customHeight="1" s="54">
      <c r="A151" s="48" t="n">
        <v>150</v>
      </c>
      <c r="B151" s="24" t="n">
        <v>46273</v>
      </c>
      <c r="C151" s="48" t="inlineStr">
        <is>
          <t>TEF-PBL</t>
        </is>
      </c>
      <c r="D151" s="48" t="inlineStr">
        <is>
          <t>Alakazam Dusknoir</t>
        </is>
      </c>
      <c r="E151" s="48" t="inlineStr">
        <is>
          <t>ZamNoir</t>
        </is>
      </c>
      <c r="F151" s="48" t="inlineStr">
        <is>
          <t>Dragapult ex</t>
        </is>
      </c>
      <c r="G151" s="48" t="n">
        <v>1</v>
      </c>
      <c r="H151" s="48" t="inlineStr">
        <is>
          <t>L</t>
        </is>
      </c>
      <c r="I151" s="48" t="n"/>
      <c r="J151" s="48" t="inlineStr">
        <is>
          <t>TCGLive</t>
        </is>
      </c>
      <c r="K151" s="48" t="n"/>
      <c r="L151" s="25">
        <f>IF(D151="","",IF(H151="W",1,IF(H151="L",0,"")))</f>
        <v/>
      </c>
      <c r="M151" s="25">
        <f>IF(D151="","",COUNTIFS($D$2:D151,D151))</f>
        <v/>
      </c>
      <c r="N151" s="25">
        <f>IF(D151="","",D151&amp;"|"&amp;M151)</f>
        <v/>
      </c>
      <c r="O151" s="25">
        <f>IF(D151="","",COUNTIFS($D$2:D151,D151,$H$2:H151,"W"))</f>
        <v/>
      </c>
      <c r="P151" s="26">
        <f>IF(D151="","",IFERROR(O151/M151,""))</f>
        <v/>
      </c>
      <c r="Q151" s="25">
        <f>IF(G151="","",IF(G151=1,"1°","2°"))</f>
        <v/>
      </c>
      <c r="R151" s="25">
        <f>IF(B151="","",TEXT(B151,"mmm-yyyy"))</f>
        <v/>
      </c>
    </row>
    <row r="152" ht="15.75" customHeight="1" s="54">
      <c r="A152" s="44" t="n">
        <v>151</v>
      </c>
      <c r="B152" s="42" t="n">
        <v>46273</v>
      </c>
      <c r="C152" s="44" t="inlineStr">
        <is>
          <t>TEF-PBL</t>
        </is>
      </c>
      <c r="D152" s="44" t="inlineStr">
        <is>
          <t>Alakazam Dusknoir</t>
        </is>
      </c>
      <c r="E152" s="44" t="inlineStr">
        <is>
          <t>ZamNoir</t>
        </is>
      </c>
      <c r="F152" s="44" t="inlineStr">
        <is>
          <t>Toxtricity box</t>
        </is>
      </c>
      <c r="G152" s="44" t="n">
        <v>1</v>
      </c>
      <c r="H152" s="44" t="inlineStr">
        <is>
          <t>W</t>
        </is>
      </c>
      <c r="I152" s="44" t="n"/>
      <c r="J152" s="44" t="inlineStr">
        <is>
          <t>TCGLive</t>
        </is>
      </c>
      <c r="K152" s="44" t="n"/>
      <c r="L152" s="25">
        <f>IF(D152="","",IF(H152="W",1,IF(H152="L",0,"")))</f>
        <v/>
      </c>
      <c r="M152" s="25">
        <f>IF(D152="","",COUNTIFS($D$2:D152,D152))</f>
        <v/>
      </c>
      <c r="N152" s="25">
        <f>IF(D152="","",D152&amp;"|"&amp;M152)</f>
        <v/>
      </c>
      <c r="O152" s="25">
        <f>IF(D152="","",COUNTIFS($D$2:D152,D152,$H$2:H152,"W"))</f>
        <v/>
      </c>
      <c r="P152" s="26">
        <f>IF(D152="","",IFERROR(O152/M152,""))</f>
        <v/>
      </c>
      <c r="Q152" s="25">
        <f>IF(G152="","",IF(G152=1,"1°","2°"))</f>
        <v/>
      </c>
      <c r="R152" s="25">
        <f>IF(B152="","",TEXT(B152,"mmm-yyyy"))</f>
        <v/>
      </c>
    </row>
    <row r="153" ht="15.75" customHeight="1" s="54">
      <c r="A153" s="48" t="n">
        <v>152</v>
      </c>
      <c r="B153" s="24" t="n">
        <v>46274</v>
      </c>
      <c r="C153" s="48" t="inlineStr">
        <is>
          <t>TEF-PBL</t>
        </is>
      </c>
      <c r="D153" s="48" t="inlineStr">
        <is>
          <t>Alakazam Dusknoir</t>
        </is>
      </c>
      <c r="E153" s="48" t="inlineStr">
        <is>
          <t>ZamNoir</t>
        </is>
      </c>
      <c r="F153" s="48" t="inlineStr">
        <is>
          <t>MegaMagnetric ex Eelektrik</t>
        </is>
      </c>
      <c r="G153" s="48" t="n">
        <v>2</v>
      </c>
      <c r="H153" s="48" t="inlineStr">
        <is>
          <t>W</t>
        </is>
      </c>
      <c r="I153" s="48" t="inlineStr">
        <is>
          <t>Bad Opening</t>
        </is>
      </c>
      <c r="J153" s="48" t="inlineStr">
        <is>
          <t>TCGLive</t>
        </is>
      </c>
      <c r="K153" s="48" t="n"/>
      <c r="L153" s="25">
        <f>IF(D153="","",IF(H153="W",1,IF(H153="L",0,"")))</f>
        <v/>
      </c>
      <c r="M153" s="25">
        <f>IF(D153="","",COUNTIFS($D$2:D153,D153))</f>
        <v/>
      </c>
      <c r="N153" s="25">
        <f>IF(D153="","",D153&amp;"|"&amp;M153)</f>
        <v/>
      </c>
      <c r="O153" s="25">
        <f>IF(D153="","",COUNTIFS($D$2:D153,D153,$H$2:H153,"W"))</f>
        <v/>
      </c>
      <c r="P153" s="26">
        <f>IF(D153="","",IFERROR(O153/M153,""))</f>
        <v/>
      </c>
      <c r="Q153" s="25">
        <f>IF(G153="","",IF(G153=1,"1°","2°"))</f>
        <v/>
      </c>
      <c r="R153" s="25">
        <f>IF(B153="","",TEXT(B153,"mmm-yyyy"))</f>
        <v/>
      </c>
    </row>
    <row r="154" ht="15.75" customHeight="1" s="54">
      <c r="A154" s="44" t="n">
        <v>153</v>
      </c>
      <c r="B154" s="42" t="n">
        <v>46274</v>
      </c>
      <c r="C154" s="44" t="inlineStr">
        <is>
          <t>TEF-PBL</t>
        </is>
      </c>
      <c r="D154" s="44" t="inlineStr">
        <is>
          <t>Alakazam Dusknoir</t>
        </is>
      </c>
      <c r="E154" s="44" t="inlineStr">
        <is>
          <t>ZamNoir</t>
        </is>
      </c>
      <c r="F154" s="44" t="inlineStr">
        <is>
          <t>Dragapult ex Blaziken ex</t>
        </is>
      </c>
      <c r="G154" s="44" t="n">
        <v>2</v>
      </c>
      <c r="H154" s="44" t="inlineStr">
        <is>
          <t>L</t>
        </is>
      </c>
      <c r="I154" s="44" t="inlineStr">
        <is>
          <t>Bad Opening</t>
        </is>
      </c>
      <c r="J154" s="44" t="inlineStr">
        <is>
          <t>TCGLive</t>
        </is>
      </c>
      <c r="K154" s="44" t="n"/>
      <c r="L154" s="25">
        <f>IF(D154="","",IF(H154="W",1,IF(H154="L",0,"")))</f>
        <v/>
      </c>
      <c r="M154" s="25">
        <f>IF(D154="","",COUNTIFS($D$2:D154,D154))</f>
        <v/>
      </c>
      <c r="N154" s="25">
        <f>IF(D154="","",D154&amp;"|"&amp;M154)</f>
        <v/>
      </c>
      <c r="O154" s="25">
        <f>IF(D154="","",COUNTIFS($D$2:D154,D154,$H$2:H154,"W"))</f>
        <v/>
      </c>
      <c r="P154" s="26">
        <f>IF(D154="","",IFERROR(O154/M154,""))</f>
        <v/>
      </c>
      <c r="Q154" s="25">
        <f>IF(G154="","",IF(G154=1,"1°","2°"))</f>
        <v/>
      </c>
      <c r="R154" s="25">
        <f>IF(B154="","",TEXT(B154,"mmm-yyyy"))</f>
        <v/>
      </c>
    </row>
    <row r="155" ht="15.75" customHeight="1" s="54">
      <c r="A155" s="48" t="n">
        <v>154</v>
      </c>
      <c r="B155" s="24" t="n">
        <v>46274</v>
      </c>
      <c r="C155" s="48" t="inlineStr">
        <is>
          <t>TEF-PBL</t>
        </is>
      </c>
      <c r="D155" s="48" t="inlineStr">
        <is>
          <t>Alakazam Dusknoir</t>
        </is>
      </c>
      <c r="E155" s="48" t="inlineStr">
        <is>
          <t>ZamNoir</t>
        </is>
      </c>
      <c r="F155" s="48" t="inlineStr">
        <is>
          <t>Slowking</t>
        </is>
      </c>
      <c r="G155" s="48" t="n">
        <v>1</v>
      </c>
      <c r="H155" s="48" t="inlineStr">
        <is>
          <t>W</t>
        </is>
      </c>
      <c r="I155" s="48" t="inlineStr">
        <is>
          <t>Bad Start</t>
        </is>
      </c>
      <c r="J155" s="48" t="inlineStr">
        <is>
          <t>TCGLive</t>
        </is>
      </c>
      <c r="K155" s="48" t="n"/>
      <c r="L155" s="25">
        <f>IF(D155="","",IF(H155="W",1,IF(H155="L",0,"")))</f>
        <v/>
      </c>
      <c r="M155" s="25">
        <f>IF(D155="","",COUNTIFS($D$2:D155,D155))</f>
        <v/>
      </c>
      <c r="N155" s="25">
        <f>IF(D155="","",D155&amp;"|"&amp;M155)</f>
        <v/>
      </c>
      <c r="O155" s="25">
        <f>IF(D155="","",COUNTIFS($D$2:D155,D155,$H$2:H155,"W"))</f>
        <v/>
      </c>
      <c r="P155" s="26">
        <f>IF(D155="","",IFERROR(O155/M155,""))</f>
        <v/>
      </c>
      <c r="Q155" s="25">
        <f>IF(G155="","",IF(G155=1,"1°","2°"))</f>
        <v/>
      </c>
      <c r="R155" s="25">
        <f>IF(B155="","",TEXT(B155,"mmm-yyyy"))</f>
        <v/>
      </c>
    </row>
    <row r="156" ht="15.75" customHeight="1" s="54">
      <c r="A156" s="44" t="n">
        <v>155</v>
      </c>
      <c r="B156" s="42" t="n">
        <v>46274</v>
      </c>
      <c r="C156" s="44" t="inlineStr">
        <is>
          <t>TEF-PBL</t>
        </is>
      </c>
      <c r="D156" s="44" t="inlineStr">
        <is>
          <t>Alakazam Dusknoir</t>
        </is>
      </c>
      <c r="E156" s="44" t="inlineStr">
        <is>
          <t>ZamNoir</t>
        </is>
      </c>
      <c r="F156" s="44" t="inlineStr">
        <is>
          <t>Zoroark ex</t>
        </is>
      </c>
      <c r="G156" s="44" t="n">
        <v>1</v>
      </c>
      <c r="H156" s="44" t="inlineStr">
        <is>
          <t>W</t>
        </is>
      </c>
      <c r="I156" s="44" t="n"/>
      <c r="J156" s="44" t="inlineStr">
        <is>
          <t>TCGLive</t>
        </is>
      </c>
      <c r="K156" s="44" t="n"/>
      <c r="L156" s="25">
        <f>IF(D156="","",IF(H156="W",1,IF(H156="L",0,"")))</f>
        <v/>
      </c>
      <c r="M156" s="25">
        <f>IF(D156="","",COUNTIFS($D$2:D156,D156))</f>
        <v/>
      </c>
      <c r="N156" s="25">
        <f>IF(D156="","",D156&amp;"|"&amp;M156)</f>
        <v/>
      </c>
      <c r="O156" s="25">
        <f>IF(D156="","",COUNTIFS($D$2:D156,D156,$H$2:H156,"W"))</f>
        <v/>
      </c>
      <c r="P156" s="26">
        <f>IF(D156="","",IFERROR(O156/M156,""))</f>
        <v/>
      </c>
      <c r="Q156" s="25">
        <f>IF(G156="","",IF(G156=1,"1°","2°"))</f>
        <v/>
      </c>
      <c r="R156" s="25">
        <f>IF(B156="","",TEXT(B156,"mmm-yyyy"))</f>
        <v/>
      </c>
    </row>
    <row r="157" ht="15.75" customHeight="1" s="54">
      <c r="A157" s="48" t="n">
        <v>156</v>
      </c>
      <c r="B157" s="24" t="n">
        <v>46274</v>
      </c>
      <c r="C157" s="48" t="inlineStr">
        <is>
          <t>TEF-PBL</t>
        </is>
      </c>
      <c r="D157" s="48" t="inlineStr">
        <is>
          <t>Alakazam Dusknoir</t>
        </is>
      </c>
      <c r="E157" s="48" t="inlineStr">
        <is>
          <t>ZamNoir</t>
        </is>
      </c>
      <c r="F157" s="48" t="inlineStr">
        <is>
          <t>MegaLucario ex</t>
        </is>
      </c>
      <c r="G157" s="48" t="n">
        <v>2</v>
      </c>
      <c r="H157" s="48" t="inlineStr">
        <is>
          <t>L</t>
        </is>
      </c>
      <c r="I157" s="48" t="n"/>
      <c r="J157" s="48" t="inlineStr">
        <is>
          <t>TCGLive</t>
        </is>
      </c>
      <c r="K157" s="48" t="inlineStr">
        <is>
          <t>ha troppa vita avendo l'energia</t>
        </is>
      </c>
      <c r="L157" s="25">
        <f>IF(D157="","",IF(H157="W",1,IF(H157="L",0,"")))</f>
        <v/>
      </c>
      <c r="M157" s="25">
        <f>IF(D157="","",COUNTIFS($D$2:D157,D157))</f>
        <v/>
      </c>
      <c r="N157" s="25">
        <f>IF(D157="","",D157&amp;"|"&amp;M157)</f>
        <v/>
      </c>
      <c r="O157" s="25">
        <f>IF(D157="","",COUNTIFS($D$2:D157,D157,$H$2:H157,"W"))</f>
        <v/>
      </c>
      <c r="P157" s="26">
        <f>IF(D157="","",IFERROR(O157/M157,""))</f>
        <v/>
      </c>
      <c r="Q157" s="25">
        <f>IF(G157="","",IF(G157=1,"1°","2°"))</f>
        <v/>
      </c>
      <c r="R157" s="25">
        <f>IF(B157="","",TEXT(B157,"mmm-yyyy"))</f>
        <v/>
      </c>
    </row>
    <row r="158" ht="15.75" customHeight="1" s="54">
      <c r="A158" s="44" t="n">
        <v>157</v>
      </c>
      <c r="B158" s="42" t="n">
        <v>46275</v>
      </c>
      <c r="C158" s="44" t="inlineStr">
        <is>
          <t>TEF-PBL</t>
        </is>
      </c>
      <c r="D158" s="44" t="inlineStr">
        <is>
          <t>Dragapult ex Dusknoir</t>
        </is>
      </c>
      <c r="E158" s="44" t="inlineStr">
        <is>
          <t>ZamNoir</t>
        </is>
      </c>
      <c r="F158" s="44" t="inlineStr">
        <is>
          <t>Area Della Festa</t>
        </is>
      </c>
      <c r="G158" s="44" t="n">
        <v>2</v>
      </c>
      <c r="H158" s="44" t="inlineStr">
        <is>
          <t>W</t>
        </is>
      </c>
      <c r="I158" s="44" t="n"/>
      <c r="J158" s="44" t="inlineStr">
        <is>
          <t>TCGLive</t>
        </is>
      </c>
      <c r="K158" s="44" t="n"/>
      <c r="L158" s="25">
        <f>IF(D158="","",IF(H158="W",1,IF(H158="L",0,"")))</f>
        <v/>
      </c>
      <c r="M158" s="25">
        <f>IF(D158="","",COUNTIFS($D$2:D158,D158))</f>
        <v/>
      </c>
      <c r="N158" s="25">
        <f>IF(D158="","",D158&amp;"|"&amp;M158)</f>
        <v/>
      </c>
      <c r="O158" s="25">
        <f>IF(D158="","",COUNTIFS($D$2:D158,D158,$H$2:H158,"W"))</f>
        <v/>
      </c>
      <c r="P158" s="26">
        <f>IF(D158="","",IFERROR(O158/M158,""))</f>
        <v/>
      </c>
      <c r="Q158" s="25">
        <f>IF(G158="","",IF(G158=1,"1°","2°"))</f>
        <v/>
      </c>
      <c r="R158" s="25">
        <f>IF(B158="","",TEXT(B158,"mmm-yyyy"))</f>
        <v/>
      </c>
    </row>
    <row r="159" ht="15.75" customHeight="1" s="54">
      <c r="A159" s="48" t="n">
        <v>158</v>
      </c>
      <c r="B159" s="24" t="n">
        <v>46275</v>
      </c>
      <c r="C159" s="48" t="inlineStr">
        <is>
          <t>TEF-PBL</t>
        </is>
      </c>
      <c r="D159" s="48" t="inlineStr">
        <is>
          <t>Dragapult ex Dusknoir</t>
        </is>
      </c>
      <c r="E159" s="48" t="inlineStr">
        <is>
          <t>ZamNoir</t>
        </is>
      </c>
      <c r="F159" s="48" t="inlineStr">
        <is>
          <t>Dhelmise Banette</t>
        </is>
      </c>
      <c r="G159" s="48" t="n">
        <v>2</v>
      </c>
      <c r="H159" s="48" t="inlineStr">
        <is>
          <t>W</t>
        </is>
      </c>
      <c r="I159" s="48" t="inlineStr">
        <is>
          <t>Lucky Win</t>
        </is>
      </c>
      <c r="J159" s="48" t="inlineStr">
        <is>
          <t>TCGLive</t>
        </is>
      </c>
      <c r="K159" s="48" t="n"/>
      <c r="L159" s="25">
        <f>IF(D159="","",IF(H159="W",1,IF(H159="L",0,"")))</f>
        <v/>
      </c>
      <c r="M159" s="25">
        <f>IF(D159="","",COUNTIFS($D$2:D159,D159))</f>
        <v/>
      </c>
      <c r="N159" s="25">
        <f>IF(D159="","",D159&amp;"|"&amp;M159)</f>
        <v/>
      </c>
      <c r="O159" s="25">
        <f>IF(D159="","",COUNTIFS($D$2:D159,D159,$H$2:H159,"W"))</f>
        <v/>
      </c>
      <c r="P159" s="26">
        <f>IF(D159="","",IFERROR(O159/M159,""))</f>
        <v/>
      </c>
      <c r="Q159" s="25">
        <f>IF(G159="","",IF(G159=1,"1°","2°"))</f>
        <v/>
      </c>
      <c r="R159" s="25">
        <f>IF(B159="","",TEXT(B159,"mmm-yyyy"))</f>
        <v/>
      </c>
    </row>
    <row r="160" ht="15.75" customHeight="1" s="54">
      <c r="A160" s="44" t="n">
        <v>159</v>
      </c>
      <c r="B160" s="42" t="n">
        <v>46275</v>
      </c>
      <c r="C160" s="44" t="inlineStr">
        <is>
          <t>TEF-PBL</t>
        </is>
      </c>
      <c r="D160" s="44" t="inlineStr">
        <is>
          <t>Dragapult ex Dusknoir</t>
        </is>
      </c>
      <c r="E160" s="44" t="inlineStr">
        <is>
          <t>ZamNoir</t>
        </is>
      </c>
      <c r="F160" s="44" t="inlineStr">
        <is>
          <t>Area Della Festa</t>
        </is>
      </c>
      <c r="G160" s="44" t="n">
        <v>2</v>
      </c>
      <c r="H160" s="44" t="inlineStr">
        <is>
          <t>L</t>
        </is>
      </c>
      <c r="I160" s="44" t="inlineStr">
        <is>
          <t>Bad Draw</t>
        </is>
      </c>
      <c r="J160" s="44" t="inlineStr">
        <is>
          <t>TCGLive</t>
        </is>
      </c>
      <c r="K160" s="44" t="n"/>
      <c r="L160" s="25">
        <f>IF(D160="","",IF(H160="W",1,IF(H160="L",0,"")))</f>
        <v/>
      </c>
      <c r="M160" s="25">
        <f>IF(D160="","",COUNTIFS($D$2:D160,D160))</f>
        <v/>
      </c>
      <c r="N160" s="25">
        <f>IF(D160="","",D160&amp;"|"&amp;M160)</f>
        <v/>
      </c>
      <c r="O160" s="25">
        <f>IF(D160="","",COUNTIFS($D$2:D160,D160,$H$2:H160,"W"))</f>
        <v/>
      </c>
      <c r="P160" s="26">
        <f>IF(D160="","",IFERROR(O160/M160,""))</f>
        <v/>
      </c>
      <c r="Q160" s="25">
        <f>IF(G160="","",IF(G160=1,"1°","2°"))</f>
        <v/>
      </c>
      <c r="R160" s="25">
        <f>IF(B160="","",TEXT(B160,"mmm-yyyy"))</f>
        <v/>
      </c>
    </row>
    <row r="161" ht="15.75" customHeight="1" s="54">
      <c r="A161" s="48" t="n">
        <v>160</v>
      </c>
      <c r="B161" s="24" t="n">
        <v>46275</v>
      </c>
      <c r="C161" s="48" t="inlineStr">
        <is>
          <t>TEF-PBL</t>
        </is>
      </c>
      <c r="D161" s="48" t="inlineStr">
        <is>
          <t>Dragapult ex Dusknoir</t>
        </is>
      </c>
      <c r="E161" s="48" t="inlineStr">
        <is>
          <t>ZamNoir</t>
        </is>
      </c>
      <c r="F161" s="48" t="inlineStr">
        <is>
          <t>MegaLopunny ex</t>
        </is>
      </c>
      <c r="G161" s="48" t="n">
        <v>2</v>
      </c>
      <c r="H161" s="48" t="inlineStr">
        <is>
          <t>L</t>
        </is>
      </c>
      <c r="I161" s="48" t="inlineStr">
        <is>
          <t>Bad Start, Bad Luck</t>
        </is>
      </c>
      <c r="J161" s="48" t="inlineStr">
        <is>
          <t>TCGLive</t>
        </is>
      </c>
      <c r="K161" s="48" t="n"/>
      <c r="L161" s="25">
        <f>IF(D161="","",IF(H161="W",1,IF(H161="L",0,"")))</f>
        <v/>
      </c>
      <c r="M161" s="25">
        <f>IF(D161="","",COUNTIFS($D$2:D161,D161))</f>
        <v/>
      </c>
      <c r="N161" s="25">
        <f>IF(D161="","",D161&amp;"|"&amp;M161)</f>
        <v/>
      </c>
      <c r="O161" s="25">
        <f>IF(D161="","",COUNTIFS($D$2:D161,D161,$H$2:H161,"W"))</f>
        <v/>
      </c>
      <c r="P161" s="26">
        <f>IF(D161="","",IFERROR(O161/M161,""))</f>
        <v/>
      </c>
      <c r="Q161" s="25">
        <f>IF(G161="","",IF(G161=1,"1°","2°"))</f>
        <v/>
      </c>
      <c r="R161" s="25">
        <f>IF(B161="","",TEXT(B161,"mmm-yyyy"))</f>
        <v/>
      </c>
    </row>
    <row r="162" ht="15.75" customHeight="1" s="54">
      <c r="C162" s="50" t="n"/>
      <c r="D162" s="50" t="n"/>
      <c r="E162" s="50" t="n"/>
      <c r="F162" s="50" t="n"/>
      <c r="G162" s="50" t="n"/>
      <c r="H162" s="50" t="n"/>
      <c r="J162" s="50" t="n"/>
      <c r="L162" s="25">
        <f>IF(D162="","",IF(H162="W",1,IF(H162="L",0,"")))</f>
        <v/>
      </c>
      <c r="M162" s="25">
        <f>IF(D162="","",COUNTIFS($D$2:D162,D162))</f>
        <v/>
      </c>
      <c r="N162" s="25">
        <f>IF(D162="","",D162&amp;"|"&amp;M162)</f>
        <v/>
      </c>
      <c r="O162" s="25">
        <f>IF(D162="","",COUNTIFS($D$2:D162,D162,$H$2:H162,"W"))</f>
        <v/>
      </c>
      <c r="P162" s="26">
        <f>IF(D162="","",IFERROR(O162/M162,""))</f>
        <v/>
      </c>
      <c r="Q162" s="25">
        <f>IF(G162="","",IF(G162=1,"1°","2°"))</f>
        <v/>
      </c>
      <c r="R162" s="25">
        <f>IF(B162="","",TEXT(B162,"mmm-yyyy"))</f>
        <v/>
      </c>
    </row>
    <row r="163" ht="15.75" customHeight="1" s="54">
      <c r="C163" s="50" t="n"/>
      <c r="D163" s="50" t="n"/>
      <c r="E163" s="50" t="n"/>
      <c r="F163" s="50" t="n"/>
      <c r="G163" s="50" t="n"/>
      <c r="H163" s="50" t="n"/>
      <c r="J163" s="50" t="n"/>
      <c r="L163" s="25">
        <f>IF(D163="","",IF(H163="W",1,IF(H163="L",0,"")))</f>
        <v/>
      </c>
      <c r="M163" s="25">
        <f>IF(D163="","",COUNTIFS($D$2:D163,D163))</f>
        <v/>
      </c>
      <c r="N163" s="25">
        <f>IF(D163="","",D163&amp;"|"&amp;M163)</f>
        <v/>
      </c>
      <c r="O163" s="25">
        <f>IF(D163="","",COUNTIFS($D$2:D163,D163,$H$2:H163,"W"))</f>
        <v/>
      </c>
      <c r="P163" s="26">
        <f>IF(D163="","",IFERROR(O163/M163,""))</f>
        <v/>
      </c>
      <c r="Q163" s="25">
        <f>IF(G163="","",IF(G163=1,"1°","2°"))</f>
        <v/>
      </c>
      <c r="R163" s="25">
        <f>IF(B163="","",TEXT(B163,"mmm-yyyy"))</f>
        <v/>
      </c>
    </row>
    <row r="164" ht="15.75" customHeight="1" s="54">
      <c r="C164" s="50" t="n"/>
      <c r="D164" s="50" t="n"/>
      <c r="E164" s="50" t="n"/>
      <c r="F164" s="50" t="n"/>
      <c r="G164" s="50" t="n"/>
      <c r="H164" s="50" t="n"/>
      <c r="J164" s="50" t="n"/>
      <c r="L164" s="25">
        <f>IF(D164="","",IF(H164="W",1,IF(H164="L",0,"")))</f>
        <v/>
      </c>
      <c r="M164" s="25">
        <f>IF(D164="","",COUNTIFS($D$2:D164,D164))</f>
        <v/>
      </c>
      <c r="N164" s="25">
        <f>IF(D164="","",D164&amp;"|"&amp;M164)</f>
        <v/>
      </c>
      <c r="O164" s="25">
        <f>IF(D164="","",COUNTIFS($D$2:D164,D164,$H$2:H164,"W"))</f>
        <v/>
      </c>
      <c r="P164" s="26">
        <f>IF(D164="","",IFERROR(O164/M164,""))</f>
        <v/>
      </c>
      <c r="Q164" s="25">
        <f>IF(G164="","",IF(G164=1,"1°","2°"))</f>
        <v/>
      </c>
      <c r="R164" s="25">
        <f>IF(B164="","",TEXT(B164,"mmm-yyyy"))</f>
        <v/>
      </c>
    </row>
    <row r="165" ht="15.75" customHeight="1" s="54">
      <c r="C165" s="50" t="n"/>
      <c r="D165" s="50" t="n"/>
      <c r="E165" s="50" t="n"/>
      <c r="F165" s="50" t="n"/>
      <c r="G165" s="50" t="n"/>
      <c r="H165" s="50" t="n"/>
      <c r="J165" s="50" t="n"/>
      <c r="L165" s="25">
        <f>IF(D165="","",IF(H165="W",1,IF(H165="L",0,"")))</f>
        <v/>
      </c>
      <c r="M165" s="25">
        <f>IF(D165="","",COUNTIFS($D$2:D165,D165))</f>
        <v/>
      </c>
      <c r="N165" s="25">
        <f>IF(D165="","",D165&amp;"|"&amp;M165)</f>
        <v/>
      </c>
      <c r="O165" s="25">
        <f>IF(D165="","",COUNTIFS($D$2:D165,D165,$H$2:H165,"W"))</f>
        <v/>
      </c>
      <c r="P165" s="26">
        <f>IF(D165="","",IFERROR(O165/M165,""))</f>
        <v/>
      </c>
      <c r="Q165" s="25">
        <f>IF(G165="","",IF(G165=1,"1°","2°"))</f>
        <v/>
      </c>
      <c r="R165" s="25">
        <f>IF(B165="","",TEXT(B165,"mmm-yyyy"))</f>
        <v/>
      </c>
    </row>
    <row r="166" ht="15.75" customHeight="1" s="54">
      <c r="C166" s="50" t="n"/>
      <c r="D166" s="50" t="n"/>
      <c r="E166" s="50" t="n"/>
      <c r="F166" s="50" t="n"/>
      <c r="G166" s="50" t="n"/>
      <c r="H166" s="50" t="n"/>
      <c r="J166" s="50" t="n"/>
      <c r="L166" s="25">
        <f>IF(D166="","",IF(H166="W",1,IF(H166="L",0,"")))</f>
        <v/>
      </c>
      <c r="M166" s="25">
        <f>IF(D166="","",COUNTIFS($D$2:D166,D166))</f>
        <v/>
      </c>
      <c r="N166" s="25">
        <f>IF(D166="","",D166&amp;"|"&amp;M166)</f>
        <v/>
      </c>
      <c r="O166" s="25">
        <f>IF(D166="","",COUNTIFS($D$2:D166,D166,$H$2:H166,"W"))</f>
        <v/>
      </c>
      <c r="P166" s="26">
        <f>IF(D166="","",IFERROR(O166/M166,""))</f>
        <v/>
      </c>
      <c r="Q166" s="25">
        <f>IF(G166="","",IF(G166=1,"1°","2°"))</f>
        <v/>
      </c>
      <c r="R166" s="25">
        <f>IF(B166="","",TEXT(B166,"mmm-yyyy"))</f>
        <v/>
      </c>
    </row>
    <row r="167" ht="15.75" customHeight="1" s="54">
      <c r="C167" s="50" t="n"/>
      <c r="D167" s="50" t="n"/>
      <c r="E167" s="50" t="n"/>
      <c r="F167" s="50" t="n"/>
      <c r="G167" s="50" t="n"/>
      <c r="H167" s="50" t="n"/>
      <c r="J167" s="50" t="n"/>
      <c r="L167" s="25">
        <f>IF(D167="","",IF(H167="W",1,IF(H167="L",0,"")))</f>
        <v/>
      </c>
      <c r="M167" s="25">
        <f>IF(D167="","",COUNTIFS($D$2:D167,D167))</f>
        <v/>
      </c>
      <c r="N167" s="25">
        <f>IF(D167="","",D167&amp;"|"&amp;M167)</f>
        <v/>
      </c>
      <c r="O167" s="25">
        <f>IF(D167="","",COUNTIFS($D$2:D167,D167,$H$2:H167,"W"))</f>
        <v/>
      </c>
      <c r="P167" s="26">
        <f>IF(D167="","",IFERROR(O167/M167,""))</f>
        <v/>
      </c>
      <c r="Q167" s="25">
        <f>IF(G167="","",IF(G167=1,"1°","2°"))</f>
        <v/>
      </c>
      <c r="R167" s="25">
        <f>IF(B167="","",TEXT(B167,"mmm-yyyy"))</f>
        <v/>
      </c>
    </row>
    <row r="168" ht="15.75" customHeight="1" s="54">
      <c r="C168" s="50" t="n"/>
      <c r="D168" s="50" t="n"/>
      <c r="E168" s="50" t="n"/>
      <c r="F168" s="50" t="n"/>
      <c r="G168" s="50" t="n"/>
      <c r="H168" s="50" t="n"/>
      <c r="J168" s="50" t="n"/>
      <c r="L168" s="25">
        <f>IF(D168="","",IF(H168="W",1,IF(H168="L",0,"")))</f>
        <v/>
      </c>
      <c r="M168" s="25">
        <f>IF(D168="","",COUNTIFS($D$2:D168,D168))</f>
        <v/>
      </c>
      <c r="N168" s="25">
        <f>IF(D168="","",D168&amp;"|"&amp;M168)</f>
        <v/>
      </c>
      <c r="O168" s="25">
        <f>IF(D168="","",COUNTIFS($D$2:D168,D168,$H$2:H168,"W"))</f>
        <v/>
      </c>
      <c r="P168" s="26">
        <f>IF(D168="","",IFERROR(O168/M168,""))</f>
        <v/>
      </c>
      <c r="Q168" s="25">
        <f>IF(G168="","",IF(G168=1,"1°","2°"))</f>
        <v/>
      </c>
      <c r="R168" s="25">
        <f>IF(B168="","",TEXT(B168,"mmm-yyyy"))</f>
        <v/>
      </c>
    </row>
    <row r="169" ht="15.75" customHeight="1" s="54">
      <c r="C169" s="50" t="n"/>
      <c r="D169" s="50" t="n"/>
      <c r="E169" s="50" t="n"/>
      <c r="F169" s="50" t="n"/>
      <c r="G169" s="50" t="n"/>
      <c r="H169" s="50" t="n"/>
      <c r="J169" s="50" t="n"/>
      <c r="L169" s="25">
        <f>IF(D169="","",IF(H169="W",1,IF(H169="L",0,"")))</f>
        <v/>
      </c>
      <c r="M169" s="25">
        <f>IF(D169="","",COUNTIFS($D$2:D169,D169))</f>
        <v/>
      </c>
      <c r="N169" s="25">
        <f>IF(D169="","",D169&amp;"|"&amp;M169)</f>
        <v/>
      </c>
      <c r="O169" s="25">
        <f>IF(D169="","",COUNTIFS($D$2:D169,D169,$H$2:H169,"W"))</f>
        <v/>
      </c>
      <c r="P169" s="26">
        <f>IF(D169="","",IFERROR(O169/M169,""))</f>
        <v/>
      </c>
      <c r="Q169" s="25">
        <f>IF(G169="","",IF(G169=1,"1°","2°"))</f>
        <v/>
      </c>
      <c r="R169" s="25">
        <f>IF(B169="","",TEXT(B169,"mmm-yyyy"))</f>
        <v/>
      </c>
    </row>
    <row r="170" ht="15.75" customHeight="1" s="54">
      <c r="C170" s="50" t="n"/>
      <c r="D170" s="50" t="n"/>
      <c r="E170" s="50" t="n"/>
      <c r="F170" s="50" t="n"/>
      <c r="G170" s="50" t="n"/>
      <c r="H170" s="50" t="n"/>
      <c r="J170" s="50" t="n"/>
      <c r="L170" s="25">
        <f>IF(D170="","",IF(H170="W",1,IF(H170="L",0,"")))</f>
        <v/>
      </c>
      <c r="M170" s="25">
        <f>IF(D170="","",COUNTIFS($D$2:D170,D170))</f>
        <v/>
      </c>
      <c r="N170" s="25">
        <f>IF(D170="","",D170&amp;"|"&amp;M170)</f>
        <v/>
      </c>
      <c r="O170" s="25">
        <f>IF(D170="","",COUNTIFS($D$2:D170,D170,$H$2:H170,"W"))</f>
        <v/>
      </c>
      <c r="P170" s="26">
        <f>IF(D170="","",IFERROR(O170/M170,""))</f>
        <v/>
      </c>
      <c r="Q170" s="25">
        <f>IF(G170="","",IF(G170=1,"1°","2°"))</f>
        <v/>
      </c>
      <c r="R170" s="25">
        <f>IF(B170="","",TEXT(B170,"mmm-yyyy"))</f>
        <v/>
      </c>
    </row>
    <row r="171" ht="15.75" customHeight="1" s="54">
      <c r="C171" s="50" t="n"/>
      <c r="D171" s="50" t="n"/>
      <c r="E171" s="50" t="n"/>
      <c r="F171" s="50" t="n"/>
      <c r="G171" s="50" t="n"/>
      <c r="H171" s="50" t="n"/>
      <c r="J171" s="50" t="n"/>
      <c r="L171" s="25">
        <f>IF(D171="","",IF(H171="W",1,IF(H171="L",0,"")))</f>
        <v/>
      </c>
      <c r="M171" s="25">
        <f>IF(D171="","",COUNTIFS($D$2:D171,D171))</f>
        <v/>
      </c>
      <c r="N171" s="25">
        <f>IF(D171="","",D171&amp;"|"&amp;M171)</f>
        <v/>
      </c>
      <c r="O171" s="25">
        <f>IF(D171="","",COUNTIFS($D$2:D171,D171,$H$2:H171,"W"))</f>
        <v/>
      </c>
      <c r="P171" s="26">
        <f>IF(D171="","",IFERROR(O171/M171,""))</f>
        <v/>
      </c>
      <c r="Q171" s="25">
        <f>IF(G171="","",IF(G171=1,"1°","2°"))</f>
        <v/>
      </c>
      <c r="R171" s="25">
        <f>IF(B171="","",TEXT(B171,"mmm-yyyy"))</f>
        <v/>
      </c>
    </row>
    <row r="172" ht="15.75" customHeight="1" s="54">
      <c r="C172" s="50" t="n"/>
      <c r="D172" s="50" t="n"/>
      <c r="E172" s="50" t="n"/>
      <c r="F172" s="50" t="n"/>
      <c r="G172" s="50" t="n"/>
      <c r="H172" s="50" t="n"/>
      <c r="J172" s="50" t="n"/>
      <c r="L172" s="25">
        <f>IF(D172="","",IF(H172="W",1,IF(H172="L",0,"")))</f>
        <v/>
      </c>
      <c r="M172" s="25">
        <f>IF(D172="","",COUNTIFS($D$2:D172,D172))</f>
        <v/>
      </c>
      <c r="N172" s="25">
        <f>IF(D172="","",D172&amp;"|"&amp;M172)</f>
        <v/>
      </c>
      <c r="O172" s="25">
        <f>IF(D172="","",COUNTIFS($D$2:D172,D172,$H$2:H172,"W"))</f>
        <v/>
      </c>
      <c r="P172" s="26">
        <f>IF(D172="","",IFERROR(O172/M172,""))</f>
        <v/>
      </c>
      <c r="Q172" s="25">
        <f>IF(G172="","",IF(G172=1,"1°","2°"))</f>
        <v/>
      </c>
      <c r="R172" s="25">
        <f>IF(B172="","",TEXT(B172,"mmm-yyyy"))</f>
        <v/>
      </c>
    </row>
    <row r="173" ht="15.75" customHeight="1" s="54">
      <c r="C173" s="50" t="n"/>
      <c r="D173" s="50" t="n"/>
      <c r="E173" s="50" t="n"/>
      <c r="F173" s="50" t="n"/>
      <c r="G173" s="50" t="n"/>
      <c r="H173" s="50" t="n"/>
      <c r="J173" s="50" t="n"/>
      <c r="L173" s="25">
        <f>IF(D173="","",IF(H173="W",1,IF(H173="L",0,"")))</f>
        <v/>
      </c>
      <c r="M173" s="25">
        <f>IF(D173="","",COUNTIFS($D$2:D173,D173))</f>
        <v/>
      </c>
      <c r="N173" s="25">
        <f>IF(D173="","",D173&amp;"|"&amp;M173)</f>
        <v/>
      </c>
      <c r="O173" s="25">
        <f>IF(D173="","",COUNTIFS($D$2:D173,D173,$H$2:H173,"W"))</f>
        <v/>
      </c>
      <c r="P173" s="26">
        <f>IF(D173="","",IFERROR(O173/M173,""))</f>
        <v/>
      </c>
      <c r="Q173" s="25">
        <f>IF(G173="","",IF(G173=1,"1°","2°"))</f>
        <v/>
      </c>
      <c r="R173" s="25">
        <f>IF(B173="","",TEXT(B173,"mmm-yyyy"))</f>
        <v/>
      </c>
    </row>
    <row r="174" ht="15.75" customHeight="1" s="54">
      <c r="C174" s="50" t="n"/>
      <c r="D174" s="50" t="n"/>
      <c r="E174" s="50" t="n"/>
      <c r="F174" s="50" t="n"/>
      <c r="G174" s="50" t="n"/>
      <c r="H174" s="50" t="n"/>
      <c r="J174" s="50" t="n"/>
      <c r="L174" s="25">
        <f>IF(D174="","",IF(H174="W",1,IF(H174="L",0,"")))</f>
        <v/>
      </c>
      <c r="M174" s="25">
        <f>IF(D174="","",COUNTIFS($D$2:D174,D174))</f>
        <v/>
      </c>
      <c r="N174" s="25">
        <f>IF(D174="","",D174&amp;"|"&amp;M174)</f>
        <v/>
      </c>
      <c r="O174" s="25">
        <f>IF(D174="","",COUNTIFS($D$2:D174,D174,$H$2:H174,"W"))</f>
        <v/>
      </c>
      <c r="P174" s="26">
        <f>IF(D174="","",IFERROR(O174/M174,""))</f>
        <v/>
      </c>
      <c r="Q174" s="25">
        <f>IF(G174="","",IF(G174=1,"1°","2°"))</f>
        <v/>
      </c>
      <c r="R174" s="25">
        <f>IF(B174="","",TEXT(B174,"mmm-yyyy"))</f>
        <v/>
      </c>
    </row>
    <row r="175" ht="15.75" customHeight="1" s="54">
      <c r="C175" s="50" t="n"/>
      <c r="D175" s="50" t="n"/>
      <c r="E175" s="50" t="n"/>
      <c r="F175" s="50" t="n"/>
      <c r="G175" s="50" t="n"/>
      <c r="H175" s="50" t="n"/>
      <c r="J175" s="50" t="n"/>
      <c r="L175" s="25">
        <f>IF(D175="","",IF(H175="W",1,IF(H175="L",0,"")))</f>
        <v/>
      </c>
      <c r="M175" s="25">
        <f>IF(D175="","",COUNTIFS($D$2:D175,D175))</f>
        <v/>
      </c>
      <c r="N175" s="25">
        <f>IF(D175="","",D175&amp;"|"&amp;M175)</f>
        <v/>
      </c>
      <c r="O175" s="25">
        <f>IF(D175="","",COUNTIFS($D$2:D175,D175,$H$2:H175,"W"))</f>
        <v/>
      </c>
      <c r="P175" s="26">
        <f>IF(D175="","",IFERROR(O175/M175,""))</f>
        <v/>
      </c>
      <c r="Q175" s="25">
        <f>IF(G175="","",IF(G175=1,"1°","2°"))</f>
        <v/>
      </c>
      <c r="R175" s="25">
        <f>IF(B175="","",TEXT(B175,"mmm-yyyy"))</f>
        <v/>
      </c>
    </row>
    <row r="176" ht="15.75" customHeight="1" s="54">
      <c r="C176" s="50" t="n"/>
      <c r="D176" s="50" t="n"/>
      <c r="E176" s="50" t="n"/>
      <c r="F176" s="50" t="n"/>
      <c r="G176" s="50" t="n"/>
      <c r="H176" s="50" t="n"/>
      <c r="J176" s="50" t="n"/>
      <c r="L176" s="25">
        <f>IF(D176="","",IF(H176="W",1,IF(H176="L",0,"")))</f>
        <v/>
      </c>
      <c r="M176" s="25">
        <f>IF(D176="","",COUNTIFS($D$2:D176,D176))</f>
        <v/>
      </c>
      <c r="N176" s="25">
        <f>IF(D176="","",D176&amp;"|"&amp;M176)</f>
        <v/>
      </c>
      <c r="O176" s="25">
        <f>IF(D176="","",COUNTIFS($D$2:D176,D176,$H$2:H176,"W"))</f>
        <v/>
      </c>
      <c r="P176" s="26">
        <f>IF(D176="","",IFERROR(O176/M176,""))</f>
        <v/>
      </c>
      <c r="Q176" s="25">
        <f>IF(G176="","",IF(G176=1,"1°","2°"))</f>
        <v/>
      </c>
      <c r="R176" s="25">
        <f>IF(B176="","",TEXT(B176,"mmm-yyyy"))</f>
        <v/>
      </c>
    </row>
    <row r="177" ht="15.75" customHeight="1" s="54">
      <c r="C177" s="50" t="n"/>
      <c r="D177" s="50" t="n"/>
      <c r="E177" s="50" t="n"/>
      <c r="F177" s="50" t="n"/>
      <c r="G177" s="50" t="n"/>
      <c r="H177" s="50" t="n"/>
      <c r="J177" s="50" t="n"/>
      <c r="L177" s="25">
        <f>IF(D177="","",IF(H177="W",1,IF(H177="L",0,"")))</f>
        <v/>
      </c>
      <c r="M177" s="25">
        <f>IF(D177="","",COUNTIFS($D$2:D177,D177))</f>
        <v/>
      </c>
      <c r="N177" s="25">
        <f>IF(D177="","",D177&amp;"|"&amp;M177)</f>
        <v/>
      </c>
      <c r="O177" s="25">
        <f>IF(D177="","",COUNTIFS($D$2:D177,D177,$H$2:H177,"W"))</f>
        <v/>
      </c>
      <c r="P177" s="26">
        <f>IF(D177="","",IFERROR(O177/M177,""))</f>
        <v/>
      </c>
      <c r="Q177" s="25">
        <f>IF(G177="","",IF(G177=1,"1°","2°"))</f>
        <v/>
      </c>
      <c r="R177" s="25">
        <f>IF(B177="","",TEXT(B177,"mmm-yyyy"))</f>
        <v/>
      </c>
    </row>
    <row r="178" ht="15.75" customHeight="1" s="54">
      <c r="C178" s="50" t="n"/>
      <c r="D178" s="50" t="n"/>
      <c r="E178" s="50" t="n"/>
      <c r="F178" s="50" t="n"/>
      <c r="G178" s="50" t="n"/>
      <c r="H178" s="50" t="n"/>
      <c r="J178" s="50" t="n"/>
      <c r="L178" s="25">
        <f>IF(D178="","",IF(H178="W",1,IF(H178="L",0,"")))</f>
        <v/>
      </c>
      <c r="M178" s="25">
        <f>IF(D178="","",COUNTIFS($D$2:D178,D178))</f>
        <v/>
      </c>
      <c r="N178" s="25">
        <f>IF(D178="","",D178&amp;"|"&amp;M178)</f>
        <v/>
      </c>
      <c r="O178" s="25">
        <f>IF(D178="","",COUNTIFS($D$2:D178,D178,$H$2:H178,"W"))</f>
        <v/>
      </c>
      <c r="P178" s="26">
        <f>IF(D178="","",IFERROR(O178/M178,""))</f>
        <v/>
      </c>
      <c r="Q178" s="25">
        <f>IF(G178="","",IF(G178=1,"1°","2°"))</f>
        <v/>
      </c>
      <c r="R178" s="25">
        <f>IF(B178="","",TEXT(B178,"mmm-yyyy"))</f>
        <v/>
      </c>
    </row>
    <row r="179" ht="15.75" customHeight="1" s="54">
      <c r="C179" s="50" t="n"/>
      <c r="D179" s="50" t="n"/>
      <c r="E179" s="50" t="n"/>
      <c r="F179" s="50" t="n"/>
      <c r="G179" s="50" t="n"/>
      <c r="H179" s="50" t="n"/>
      <c r="J179" s="50" t="n"/>
      <c r="L179" s="25">
        <f>IF(D179="","",IF(H179="W",1,IF(H179="L",0,"")))</f>
        <v/>
      </c>
      <c r="M179" s="25">
        <f>IF(D179="","",COUNTIFS($D$2:D179,D179))</f>
        <v/>
      </c>
      <c r="N179" s="25">
        <f>IF(D179="","",D179&amp;"|"&amp;M179)</f>
        <v/>
      </c>
      <c r="O179" s="25">
        <f>IF(D179="","",COUNTIFS($D$2:D179,D179,$H$2:H179,"W"))</f>
        <v/>
      </c>
      <c r="P179" s="26">
        <f>IF(D179="","",IFERROR(O179/M179,""))</f>
        <v/>
      </c>
      <c r="Q179" s="25">
        <f>IF(G179="","",IF(G179=1,"1°","2°"))</f>
        <v/>
      </c>
      <c r="R179" s="25">
        <f>IF(B179="","",TEXT(B179,"mmm-yyyy"))</f>
        <v/>
      </c>
    </row>
    <row r="180" ht="15.75" customHeight="1" s="54">
      <c r="C180" s="50" t="n"/>
      <c r="D180" s="50" t="n"/>
      <c r="E180" s="50" t="n"/>
      <c r="F180" s="50" t="n"/>
      <c r="G180" s="50" t="n"/>
      <c r="H180" s="50" t="n"/>
      <c r="J180" s="50" t="n"/>
      <c r="L180" s="25">
        <f>IF(D180="","",IF(H180="W",1,IF(H180="L",0,"")))</f>
        <v/>
      </c>
      <c r="M180" s="25">
        <f>IF(D180="","",COUNTIFS($D$2:D180,D180))</f>
        <v/>
      </c>
      <c r="N180" s="25">
        <f>IF(D180="","",D180&amp;"|"&amp;M180)</f>
        <v/>
      </c>
      <c r="O180" s="25">
        <f>IF(D180="","",COUNTIFS($D$2:D180,D180,$H$2:H180,"W"))</f>
        <v/>
      </c>
      <c r="P180" s="26">
        <f>IF(D180="","",IFERROR(O180/M180,""))</f>
        <v/>
      </c>
      <c r="Q180" s="25">
        <f>IF(G180="","",IF(G180=1,"1°","2°"))</f>
        <v/>
      </c>
      <c r="R180" s="25">
        <f>IF(B180="","",TEXT(B180,"mmm-yyyy"))</f>
        <v/>
      </c>
    </row>
    <row r="181" ht="15.75" customHeight="1" s="54">
      <c r="C181" s="50" t="n"/>
      <c r="D181" s="50" t="n"/>
      <c r="E181" s="50" t="n"/>
      <c r="F181" s="50" t="n"/>
      <c r="G181" s="50" t="n"/>
      <c r="H181" s="50" t="n"/>
      <c r="J181" s="50" t="n"/>
      <c r="L181" s="25">
        <f>IF(D181="","",IF(H181="W",1,IF(H181="L",0,"")))</f>
        <v/>
      </c>
      <c r="M181" s="25">
        <f>IF(D181="","",COUNTIFS($D$2:D181,D181))</f>
        <v/>
      </c>
      <c r="N181" s="25">
        <f>IF(D181="","",D181&amp;"|"&amp;M181)</f>
        <v/>
      </c>
      <c r="O181" s="25">
        <f>IF(D181="","",COUNTIFS($D$2:D181,D181,$H$2:H181,"W"))</f>
        <v/>
      </c>
      <c r="P181" s="26">
        <f>IF(D181="","",IFERROR(O181/M181,""))</f>
        <v/>
      </c>
      <c r="Q181" s="25">
        <f>IF(G181="","",IF(G181=1,"1°","2°"))</f>
        <v/>
      </c>
      <c r="R181" s="25">
        <f>IF(B181="","",TEXT(B181,"mmm-yyyy"))</f>
        <v/>
      </c>
    </row>
    <row r="182" ht="15.75" customHeight="1" s="54">
      <c r="C182" s="50" t="n"/>
      <c r="D182" s="50" t="n"/>
      <c r="E182" s="50" t="n"/>
      <c r="F182" s="50" t="n"/>
      <c r="G182" s="50" t="n"/>
      <c r="H182" s="50" t="n"/>
      <c r="J182" s="50" t="n"/>
      <c r="L182" s="25">
        <f>IF(D182="","",IF(H182="W",1,IF(H182="L",0,"")))</f>
        <v/>
      </c>
      <c r="M182" s="25">
        <f>IF(D182="","",COUNTIFS($D$2:D182,D182))</f>
        <v/>
      </c>
      <c r="N182" s="25">
        <f>IF(D182="","",D182&amp;"|"&amp;M182)</f>
        <v/>
      </c>
      <c r="O182" s="25">
        <f>IF(D182="","",COUNTIFS($D$2:D182,D182,$H$2:H182,"W"))</f>
        <v/>
      </c>
      <c r="P182" s="26">
        <f>IF(D182="","",IFERROR(O182/M182,""))</f>
        <v/>
      </c>
      <c r="Q182" s="25">
        <f>IF(G182="","",IF(G182=1,"1°","2°"))</f>
        <v/>
      </c>
      <c r="R182" s="25">
        <f>IF(B182="","",TEXT(B182,"mmm-yyyy"))</f>
        <v/>
      </c>
    </row>
    <row r="183" ht="15.75" customHeight="1" s="54">
      <c r="C183" s="50" t="n"/>
      <c r="D183" s="50" t="n"/>
      <c r="E183" s="50" t="n"/>
      <c r="F183" s="50" t="n"/>
      <c r="G183" s="50" t="n"/>
      <c r="H183" s="50" t="n"/>
      <c r="J183" s="50" t="n"/>
      <c r="L183" s="25">
        <f>IF(D183="","",IF(H183="W",1,IF(H183="L",0,"")))</f>
        <v/>
      </c>
      <c r="M183" s="25">
        <f>IF(D183="","",COUNTIFS($D$2:D183,D183))</f>
        <v/>
      </c>
      <c r="N183" s="25">
        <f>IF(D183="","",D183&amp;"|"&amp;M183)</f>
        <v/>
      </c>
      <c r="O183" s="25">
        <f>IF(D183="","",COUNTIFS($D$2:D183,D183,$H$2:H183,"W"))</f>
        <v/>
      </c>
      <c r="P183" s="26">
        <f>IF(D183="","",IFERROR(O183/M183,""))</f>
        <v/>
      </c>
      <c r="Q183" s="25">
        <f>IF(G183="","",IF(G183=1,"1°","2°"))</f>
        <v/>
      </c>
      <c r="R183" s="25">
        <f>IF(B183="","",TEXT(B183,"mmm-yyyy"))</f>
        <v/>
      </c>
    </row>
    <row r="184" ht="15.75" customHeight="1" s="54">
      <c r="C184" s="50" t="n"/>
      <c r="D184" s="50" t="n"/>
      <c r="E184" s="50" t="n"/>
      <c r="F184" s="50" t="n"/>
      <c r="G184" s="50" t="n"/>
      <c r="H184" s="50" t="n"/>
      <c r="J184" s="50" t="n"/>
      <c r="L184" s="25">
        <f>IF(D184="","",IF(H184="W",1,IF(H184="L",0,"")))</f>
        <v/>
      </c>
      <c r="M184" s="25">
        <f>IF(D184="","",COUNTIFS($D$2:D184,D184))</f>
        <v/>
      </c>
      <c r="N184" s="25">
        <f>IF(D184="","",D184&amp;"|"&amp;M184)</f>
        <v/>
      </c>
      <c r="O184" s="25">
        <f>IF(D184="","",COUNTIFS($D$2:D184,D184,$H$2:H184,"W"))</f>
        <v/>
      </c>
      <c r="P184" s="26">
        <f>IF(D184="","",IFERROR(O184/M184,""))</f>
        <v/>
      </c>
      <c r="Q184" s="25">
        <f>IF(G184="","",IF(G184=1,"1°","2°"))</f>
        <v/>
      </c>
      <c r="R184" s="25">
        <f>IF(B184="","",TEXT(B184,"mmm-yyyy"))</f>
        <v/>
      </c>
    </row>
    <row r="185" ht="15.75" customHeight="1" s="54">
      <c r="C185" s="50" t="n"/>
      <c r="D185" s="50" t="n"/>
      <c r="E185" s="50" t="n"/>
      <c r="F185" s="50" t="n"/>
      <c r="G185" s="50" t="n"/>
      <c r="H185" s="50" t="n"/>
      <c r="J185" s="50" t="n"/>
      <c r="L185" s="25">
        <f>IF(D185="","",IF(H185="W",1,IF(H185="L",0,"")))</f>
        <v/>
      </c>
      <c r="M185" s="25">
        <f>IF(D185="","",COUNTIFS($D$2:D185,D185))</f>
        <v/>
      </c>
      <c r="N185" s="25">
        <f>IF(D185="","",D185&amp;"|"&amp;M185)</f>
        <v/>
      </c>
      <c r="O185" s="25">
        <f>IF(D185="","",COUNTIFS($D$2:D185,D185,$H$2:H185,"W"))</f>
        <v/>
      </c>
      <c r="P185" s="26">
        <f>IF(D185="","",IFERROR(O185/M185,""))</f>
        <v/>
      </c>
      <c r="Q185" s="25">
        <f>IF(G185="","",IF(G185=1,"1°","2°"))</f>
        <v/>
      </c>
      <c r="R185" s="25">
        <f>IF(B185="","",TEXT(B185,"mmm-yyyy"))</f>
        <v/>
      </c>
    </row>
    <row r="186" ht="15.75" customHeight="1" s="54">
      <c r="C186" s="50" t="n"/>
      <c r="D186" s="50" t="n"/>
      <c r="E186" s="50" t="n"/>
      <c r="F186" s="50" t="n"/>
      <c r="G186" s="50" t="n"/>
      <c r="H186" s="50" t="n"/>
      <c r="J186" s="50" t="n"/>
      <c r="L186" s="25">
        <f>IF(D186="","",IF(H186="W",1,IF(H186="L",0,"")))</f>
        <v/>
      </c>
      <c r="M186" s="25">
        <f>IF(D186="","",COUNTIFS($D$2:D186,D186))</f>
        <v/>
      </c>
      <c r="N186" s="25">
        <f>IF(D186="","",D186&amp;"|"&amp;M186)</f>
        <v/>
      </c>
      <c r="O186" s="25">
        <f>IF(D186="","",COUNTIFS($D$2:D186,D186,$H$2:H186,"W"))</f>
        <v/>
      </c>
      <c r="P186" s="26">
        <f>IF(D186="","",IFERROR(O186/M186,""))</f>
        <v/>
      </c>
      <c r="Q186" s="25">
        <f>IF(G186="","",IF(G186=1,"1°","2°"))</f>
        <v/>
      </c>
      <c r="R186" s="25">
        <f>IF(B186="","",TEXT(B186,"mmm-yyyy"))</f>
        <v/>
      </c>
    </row>
    <row r="187" ht="15.75" customHeight="1" s="54">
      <c r="C187" s="50" t="n"/>
      <c r="D187" s="50" t="n"/>
      <c r="E187" s="50" t="n"/>
      <c r="F187" s="50" t="n"/>
      <c r="G187" s="50" t="n"/>
      <c r="H187" s="50" t="n"/>
      <c r="J187" s="50" t="n"/>
      <c r="L187" s="25">
        <f>IF(D187="","",IF(H187="W",1,IF(H187="L",0,"")))</f>
        <v/>
      </c>
      <c r="M187" s="25">
        <f>IF(D187="","",COUNTIFS($D$2:D187,D187))</f>
        <v/>
      </c>
      <c r="N187" s="25">
        <f>IF(D187="","",D187&amp;"|"&amp;M187)</f>
        <v/>
      </c>
      <c r="O187" s="25">
        <f>IF(D187="","",COUNTIFS($D$2:D187,D187,$H$2:H187,"W"))</f>
        <v/>
      </c>
      <c r="P187" s="26">
        <f>IF(D187="","",IFERROR(O187/M187,""))</f>
        <v/>
      </c>
      <c r="Q187" s="25">
        <f>IF(G187="","",IF(G187=1,"1°","2°"))</f>
        <v/>
      </c>
      <c r="R187" s="25">
        <f>IF(B187="","",TEXT(B187,"mmm-yyyy"))</f>
        <v/>
      </c>
    </row>
    <row r="188" ht="15.75" customHeight="1" s="54">
      <c r="C188" s="50" t="n"/>
      <c r="D188" s="50" t="n"/>
      <c r="E188" s="50" t="n"/>
      <c r="F188" s="50" t="n"/>
      <c r="G188" s="50" t="n"/>
      <c r="H188" s="50" t="n"/>
      <c r="J188" s="50" t="n"/>
      <c r="L188" s="25">
        <f>IF(D188="","",IF(H188="W",1,IF(H188="L",0,"")))</f>
        <v/>
      </c>
      <c r="M188" s="25">
        <f>IF(D188="","",COUNTIFS($D$2:D188,D188))</f>
        <v/>
      </c>
      <c r="N188" s="25">
        <f>IF(D188="","",D188&amp;"|"&amp;M188)</f>
        <v/>
      </c>
      <c r="O188" s="25">
        <f>IF(D188="","",COUNTIFS($D$2:D188,D188,$H$2:H188,"W"))</f>
        <v/>
      </c>
      <c r="P188" s="26">
        <f>IF(D188="","",IFERROR(O188/M188,""))</f>
        <v/>
      </c>
      <c r="Q188" s="25">
        <f>IF(G188="","",IF(G188=1,"1°","2°"))</f>
        <v/>
      </c>
      <c r="R188" s="25">
        <f>IF(B188="","",TEXT(B188,"mmm-yyyy"))</f>
        <v/>
      </c>
    </row>
    <row r="189" ht="15.75" customHeight="1" s="54">
      <c r="C189" s="50" t="n"/>
      <c r="D189" s="50" t="n"/>
      <c r="E189" s="50" t="n"/>
      <c r="F189" s="50" t="n"/>
      <c r="G189" s="50" t="n"/>
      <c r="H189" s="50" t="n"/>
      <c r="J189" s="50" t="n"/>
      <c r="L189" s="25">
        <f>IF(D189="","",IF(H189="W",1,IF(H189="L",0,"")))</f>
        <v/>
      </c>
      <c r="M189" s="25">
        <f>IF(D189="","",COUNTIFS($D$2:D189,D189))</f>
        <v/>
      </c>
      <c r="N189" s="25">
        <f>IF(D189="","",D189&amp;"|"&amp;M189)</f>
        <v/>
      </c>
      <c r="O189" s="25">
        <f>IF(D189="","",COUNTIFS($D$2:D189,D189,$H$2:H189,"W"))</f>
        <v/>
      </c>
      <c r="P189" s="26">
        <f>IF(D189="","",IFERROR(O189/M189,""))</f>
        <v/>
      </c>
      <c r="Q189" s="25">
        <f>IF(G189="","",IF(G189=1,"1°","2°"))</f>
        <v/>
      </c>
      <c r="R189" s="25">
        <f>IF(B189="","",TEXT(B189,"mmm-yyyy"))</f>
        <v/>
      </c>
    </row>
    <row r="190" ht="15.75" customHeight="1" s="54">
      <c r="C190" s="50" t="n"/>
      <c r="D190" s="50" t="n"/>
      <c r="E190" s="50" t="n"/>
      <c r="F190" s="50" t="n"/>
      <c r="G190" s="50" t="n"/>
      <c r="H190" s="50" t="n"/>
      <c r="J190" s="50" t="n"/>
      <c r="L190" s="25">
        <f>IF(D190="","",IF(H190="W",1,IF(H190="L",0,"")))</f>
        <v/>
      </c>
      <c r="M190" s="25">
        <f>IF(D190="","",COUNTIFS($D$2:D190,D190))</f>
        <v/>
      </c>
      <c r="N190" s="25">
        <f>IF(D190="","",D190&amp;"|"&amp;M190)</f>
        <v/>
      </c>
      <c r="O190" s="25">
        <f>IF(D190="","",COUNTIFS($D$2:D190,D190,$H$2:H190,"W"))</f>
        <v/>
      </c>
      <c r="P190" s="26">
        <f>IF(D190="","",IFERROR(O190/M190,""))</f>
        <v/>
      </c>
      <c r="Q190" s="25">
        <f>IF(G190="","",IF(G190=1,"1°","2°"))</f>
        <v/>
      </c>
      <c r="R190" s="25">
        <f>IF(B190="","",TEXT(B190,"mmm-yyyy"))</f>
        <v/>
      </c>
    </row>
    <row r="191" ht="15.75" customHeight="1" s="54">
      <c r="C191" s="50" t="n"/>
      <c r="D191" s="50" t="n"/>
      <c r="E191" s="50" t="n"/>
      <c r="F191" s="50" t="n"/>
      <c r="G191" s="50" t="n"/>
      <c r="H191" s="50" t="n"/>
      <c r="J191" s="50" t="n"/>
      <c r="L191" s="25">
        <f>IF(D191="","",IF(H191="W",1,IF(H191="L",0,"")))</f>
        <v/>
      </c>
      <c r="M191" s="25">
        <f>IF(D191="","",COUNTIFS($D$2:D191,D191))</f>
        <v/>
      </c>
      <c r="N191" s="25">
        <f>IF(D191="","",D191&amp;"|"&amp;M191)</f>
        <v/>
      </c>
      <c r="O191" s="25">
        <f>IF(D191="","",COUNTIFS($D$2:D191,D191,$H$2:H191,"W"))</f>
        <v/>
      </c>
      <c r="P191" s="26">
        <f>IF(D191="","",IFERROR(O191/M191,""))</f>
        <v/>
      </c>
      <c r="Q191" s="25">
        <f>IF(G191="","",IF(G191=1,"1°","2°"))</f>
        <v/>
      </c>
      <c r="R191" s="25">
        <f>IF(B191="","",TEXT(B191,"mmm-yyyy"))</f>
        <v/>
      </c>
    </row>
    <row r="192" ht="15.75" customHeight="1" s="54">
      <c r="C192" s="50" t="n"/>
      <c r="D192" s="50" t="n"/>
      <c r="E192" s="50" t="n"/>
      <c r="F192" s="50" t="n"/>
      <c r="G192" s="50" t="n"/>
      <c r="H192" s="50" t="n"/>
      <c r="J192" s="50" t="n"/>
      <c r="L192" s="25">
        <f>IF(D192="","",IF(H192="W",1,IF(H192="L",0,"")))</f>
        <v/>
      </c>
      <c r="M192" s="25">
        <f>IF(D192="","",COUNTIFS($D$2:D192,D192))</f>
        <v/>
      </c>
      <c r="N192" s="25">
        <f>IF(D192="","",D192&amp;"|"&amp;M192)</f>
        <v/>
      </c>
      <c r="O192" s="25">
        <f>IF(D192="","",COUNTIFS($D$2:D192,D192,$H$2:H192,"W"))</f>
        <v/>
      </c>
      <c r="P192" s="26">
        <f>IF(D192="","",IFERROR(O192/M192,""))</f>
        <v/>
      </c>
      <c r="Q192" s="25">
        <f>IF(G192="","",IF(G192=1,"1°","2°"))</f>
        <v/>
      </c>
      <c r="R192" s="25">
        <f>IF(B192="","",TEXT(B192,"mmm-yyyy"))</f>
        <v/>
      </c>
    </row>
    <row r="193" ht="15.75" customHeight="1" s="54">
      <c r="C193" s="50" t="n"/>
      <c r="D193" s="50" t="n"/>
      <c r="E193" s="50" t="n"/>
      <c r="F193" s="50" t="n"/>
      <c r="G193" s="50" t="n"/>
      <c r="H193" s="50" t="n"/>
      <c r="J193" s="50" t="n"/>
      <c r="L193" s="25">
        <f>IF(D193="","",IF(H193="W",1,IF(H193="L",0,"")))</f>
        <v/>
      </c>
      <c r="M193" s="25">
        <f>IF(D193="","",COUNTIFS($D$2:D193,D193))</f>
        <v/>
      </c>
      <c r="N193" s="25">
        <f>IF(D193="","",D193&amp;"|"&amp;M193)</f>
        <v/>
      </c>
      <c r="O193" s="25">
        <f>IF(D193="","",COUNTIFS($D$2:D193,D193,$H$2:H193,"W"))</f>
        <v/>
      </c>
      <c r="P193" s="26">
        <f>IF(D193="","",IFERROR(O193/M193,""))</f>
        <v/>
      </c>
      <c r="Q193" s="25">
        <f>IF(G193="","",IF(G193=1,"1°","2°"))</f>
        <v/>
      </c>
      <c r="R193" s="25">
        <f>IF(B193="","",TEXT(B193,"mmm-yyyy"))</f>
        <v/>
      </c>
    </row>
    <row r="194" ht="15.75" customHeight="1" s="54">
      <c r="C194" s="50" t="n"/>
      <c r="D194" s="50" t="n"/>
      <c r="E194" s="50" t="n"/>
      <c r="F194" s="50" t="n"/>
      <c r="G194" s="50" t="n"/>
      <c r="H194" s="50" t="n"/>
      <c r="J194" s="50" t="n"/>
      <c r="L194" s="25">
        <f>IF(D194="","",IF(H194="W",1,IF(H194="L",0,"")))</f>
        <v/>
      </c>
      <c r="M194" s="25">
        <f>IF(D194="","",COUNTIFS($D$2:D194,D194))</f>
        <v/>
      </c>
      <c r="N194" s="25">
        <f>IF(D194="","",D194&amp;"|"&amp;M194)</f>
        <v/>
      </c>
      <c r="O194" s="25">
        <f>IF(D194="","",COUNTIFS($D$2:D194,D194,$H$2:H194,"W"))</f>
        <v/>
      </c>
      <c r="P194" s="26">
        <f>IF(D194="","",IFERROR(O194/M194,""))</f>
        <v/>
      </c>
      <c r="Q194" s="25">
        <f>IF(G194="","",IF(G194=1,"1°","2°"))</f>
        <v/>
      </c>
      <c r="R194" s="25">
        <f>IF(B194="","",TEXT(B194,"mmm-yyyy"))</f>
        <v/>
      </c>
    </row>
    <row r="195" ht="15.75" customHeight="1" s="54">
      <c r="C195" s="50" t="n"/>
      <c r="D195" s="50" t="n"/>
      <c r="E195" s="50" t="n"/>
      <c r="F195" s="50" t="n"/>
      <c r="G195" s="50" t="n"/>
      <c r="H195" s="50" t="n"/>
      <c r="J195" s="50" t="n"/>
      <c r="L195" s="25">
        <f>IF(D195="","",IF(H195="W",1,IF(H195="L",0,"")))</f>
        <v/>
      </c>
      <c r="M195" s="25">
        <f>IF(D195="","",COUNTIFS($D$2:D195,D195))</f>
        <v/>
      </c>
      <c r="N195" s="25">
        <f>IF(D195="","",D195&amp;"|"&amp;M195)</f>
        <v/>
      </c>
      <c r="O195" s="25">
        <f>IF(D195="","",COUNTIFS($D$2:D195,D195,$H$2:H195,"W"))</f>
        <v/>
      </c>
      <c r="P195" s="26">
        <f>IF(D195="","",IFERROR(O195/M195,""))</f>
        <v/>
      </c>
      <c r="Q195" s="25">
        <f>IF(G195="","",IF(G195=1,"1°","2°"))</f>
        <v/>
      </c>
      <c r="R195" s="25">
        <f>IF(B195="","",TEXT(B195,"mmm-yyyy"))</f>
        <v/>
      </c>
    </row>
    <row r="196" ht="15.75" customHeight="1" s="54">
      <c r="C196" s="50" t="n"/>
      <c r="D196" s="50" t="n"/>
      <c r="E196" s="50" t="n"/>
      <c r="F196" s="50" t="n"/>
      <c r="G196" s="50" t="n"/>
      <c r="H196" s="50" t="n"/>
      <c r="J196" s="50" t="n"/>
      <c r="L196" s="25">
        <f>IF(D196="","",IF(H196="W",1,IF(H196="L",0,"")))</f>
        <v/>
      </c>
      <c r="M196" s="25">
        <f>IF(D196="","",COUNTIFS($D$2:D196,D196))</f>
        <v/>
      </c>
      <c r="N196" s="25">
        <f>IF(D196="","",D196&amp;"|"&amp;M196)</f>
        <v/>
      </c>
      <c r="O196" s="25">
        <f>IF(D196="","",COUNTIFS($D$2:D196,D196,$H$2:H196,"W"))</f>
        <v/>
      </c>
      <c r="P196" s="26">
        <f>IF(D196="","",IFERROR(O196/M196,""))</f>
        <v/>
      </c>
      <c r="Q196" s="25">
        <f>IF(G196="","",IF(G196=1,"1°","2°"))</f>
        <v/>
      </c>
      <c r="R196" s="25">
        <f>IF(B196="","",TEXT(B196,"mmm-yyyy"))</f>
        <v/>
      </c>
    </row>
    <row r="197" ht="15.75" customHeight="1" s="54">
      <c r="C197" s="50" t="n"/>
      <c r="D197" s="50" t="n"/>
      <c r="E197" s="50" t="n"/>
      <c r="F197" s="50" t="n"/>
      <c r="G197" s="50" t="n"/>
      <c r="H197" s="50" t="n"/>
      <c r="J197" s="50" t="n"/>
      <c r="L197" s="25">
        <f>IF(D197="","",IF(H197="W",1,IF(H197="L",0,"")))</f>
        <v/>
      </c>
      <c r="M197" s="25">
        <f>IF(D197="","",COUNTIFS($D$2:D197,D197))</f>
        <v/>
      </c>
      <c r="N197" s="25">
        <f>IF(D197="","",D197&amp;"|"&amp;M197)</f>
        <v/>
      </c>
      <c r="O197" s="25">
        <f>IF(D197="","",COUNTIFS($D$2:D197,D197,$H$2:H197,"W"))</f>
        <v/>
      </c>
      <c r="P197" s="26">
        <f>IF(D197="","",IFERROR(O197/M197,""))</f>
        <v/>
      </c>
      <c r="Q197" s="25">
        <f>IF(G197="","",IF(G197=1,"1°","2°"))</f>
        <v/>
      </c>
      <c r="R197" s="25">
        <f>IF(B197="","",TEXT(B197,"mmm-yyyy"))</f>
        <v/>
      </c>
    </row>
    <row r="198" ht="15.75" customHeight="1" s="54">
      <c r="C198" s="50" t="n"/>
      <c r="D198" s="50" t="n"/>
      <c r="E198" s="50" t="n"/>
      <c r="F198" s="50" t="n"/>
      <c r="G198" s="50" t="n"/>
      <c r="H198" s="50" t="n"/>
      <c r="J198" s="50" t="n"/>
      <c r="L198" s="25">
        <f>IF(D198="","",IF(H198="W",1,IF(H198="L",0,"")))</f>
        <v/>
      </c>
      <c r="M198" s="25">
        <f>IF(D198="","",COUNTIFS($D$2:D198,D198))</f>
        <v/>
      </c>
      <c r="N198" s="25">
        <f>IF(D198="","",D198&amp;"|"&amp;M198)</f>
        <v/>
      </c>
      <c r="O198" s="25">
        <f>IF(D198="","",COUNTIFS($D$2:D198,D198,$H$2:H198,"W"))</f>
        <v/>
      </c>
      <c r="P198" s="26">
        <f>IF(D198="","",IFERROR(O198/M198,""))</f>
        <v/>
      </c>
      <c r="Q198" s="25">
        <f>IF(G198="","",IF(G198=1,"1°","2°"))</f>
        <v/>
      </c>
      <c r="R198" s="25">
        <f>IF(B198="","",TEXT(B198,"mmm-yyyy"))</f>
        <v/>
      </c>
    </row>
    <row r="199" ht="15.75" customHeight="1" s="54">
      <c r="C199" s="50" t="n"/>
      <c r="D199" s="50" t="n"/>
      <c r="E199" s="50" t="n"/>
      <c r="F199" s="50" t="n"/>
      <c r="G199" s="50" t="n"/>
      <c r="H199" s="50" t="n"/>
      <c r="J199" s="50" t="n"/>
      <c r="L199" s="25">
        <f>IF(D199="","",IF(H199="W",1,IF(H199="L",0,"")))</f>
        <v/>
      </c>
      <c r="M199" s="25">
        <f>IF(D199="","",COUNTIFS($D$2:D199,D199))</f>
        <v/>
      </c>
      <c r="N199" s="25">
        <f>IF(D199="","",D199&amp;"|"&amp;M199)</f>
        <v/>
      </c>
      <c r="O199" s="25">
        <f>IF(D199="","",COUNTIFS($D$2:D199,D199,$H$2:H199,"W"))</f>
        <v/>
      </c>
      <c r="P199" s="26">
        <f>IF(D199="","",IFERROR(O199/M199,""))</f>
        <v/>
      </c>
      <c r="Q199" s="25">
        <f>IF(G199="","",IF(G199=1,"1°","2°"))</f>
        <v/>
      </c>
      <c r="R199" s="25">
        <f>IF(B199="","",TEXT(B199,"mmm-yyyy"))</f>
        <v/>
      </c>
    </row>
    <row r="200" ht="15.75" customHeight="1" s="54">
      <c r="C200" s="50" t="n"/>
      <c r="D200" s="50" t="n"/>
      <c r="E200" s="50" t="n"/>
      <c r="F200" s="50" t="n"/>
      <c r="G200" s="50" t="n"/>
      <c r="H200" s="50" t="n"/>
      <c r="J200" s="50" t="n"/>
      <c r="L200" s="25">
        <f>IF(D200="","",IF(H200="W",1,IF(H200="L",0,"")))</f>
        <v/>
      </c>
      <c r="M200" s="25">
        <f>IF(D200="","",COUNTIFS($D$2:D200,D200))</f>
        <v/>
      </c>
      <c r="N200" s="25">
        <f>IF(D200="","",D200&amp;"|"&amp;M200)</f>
        <v/>
      </c>
      <c r="O200" s="25">
        <f>IF(D200="","",COUNTIFS($D$2:D200,D200,$H$2:H200,"W"))</f>
        <v/>
      </c>
      <c r="P200" s="26">
        <f>IF(D200="","",IFERROR(O200/M200,""))</f>
        <v/>
      </c>
      <c r="Q200" s="25">
        <f>IF(G200="","",IF(G200=1,"1°","2°"))</f>
        <v/>
      </c>
      <c r="R200" s="25">
        <f>IF(B200="","",TEXT(B200,"mmm-yyyy"))</f>
        <v/>
      </c>
    </row>
    <row r="201" ht="15.75" customHeight="1" s="54">
      <c r="C201" s="50" t="n"/>
      <c r="D201" s="50" t="n"/>
      <c r="E201" s="50" t="n"/>
      <c r="F201" s="50" t="n"/>
      <c r="G201" s="50" t="n"/>
      <c r="H201" s="50" t="n"/>
      <c r="J201" s="50" t="n"/>
      <c r="L201" s="25">
        <f>IF(D201="","",IF(H201="W",1,IF(H201="L",0,"")))</f>
        <v/>
      </c>
      <c r="M201" s="25">
        <f>IF(D201="","",COUNTIFS($D$2:D201,D201))</f>
        <v/>
      </c>
      <c r="N201" s="25">
        <f>IF(D201="","",D201&amp;"|"&amp;M201)</f>
        <v/>
      </c>
      <c r="O201" s="25">
        <f>IF(D201="","",COUNTIFS($D$2:D201,D201,$H$2:H201,"W"))</f>
        <v/>
      </c>
      <c r="P201" s="26">
        <f>IF(D201="","",IFERROR(O201/M201,""))</f>
        <v/>
      </c>
      <c r="Q201" s="25">
        <f>IF(G201="","",IF(G201=1,"1°","2°"))</f>
        <v/>
      </c>
      <c r="R201" s="25">
        <f>IF(B201="","",TEXT(B201,"mmm-yyyy"))</f>
        <v/>
      </c>
    </row>
    <row r="202" ht="15.75" customHeight="1" s="54">
      <c r="C202" s="50" t="n"/>
      <c r="D202" s="50" t="n"/>
      <c r="E202" s="50" t="n"/>
      <c r="F202" s="50" t="n"/>
      <c r="G202" s="50" t="n"/>
      <c r="H202" s="50" t="n"/>
      <c r="J202" s="50" t="n"/>
      <c r="L202" s="25">
        <f>IF(D202="","",IF(H202="W",1,IF(H202="L",0,"")))</f>
        <v/>
      </c>
      <c r="M202" s="25">
        <f>IF(D202="","",COUNTIFS($D$2:D202,D202))</f>
        <v/>
      </c>
      <c r="N202" s="25">
        <f>IF(D202="","",D202&amp;"|"&amp;M202)</f>
        <v/>
      </c>
      <c r="O202" s="25">
        <f>IF(D202="","",COUNTIFS($D$2:D202,D202,$H$2:H202,"W"))</f>
        <v/>
      </c>
      <c r="P202" s="26">
        <f>IF(D202="","",IFERROR(O202/M202,""))</f>
        <v/>
      </c>
      <c r="Q202" s="25">
        <f>IF(G202="","",IF(G202=1,"1°","2°"))</f>
        <v/>
      </c>
      <c r="R202" s="25">
        <f>IF(B202="","",TEXT(B202,"mmm-yyyy"))</f>
        <v/>
      </c>
    </row>
    <row r="203" ht="15.75" customHeight="1" s="54">
      <c r="C203" s="50" t="n"/>
      <c r="D203" s="50" t="n"/>
      <c r="E203" s="50" t="n"/>
      <c r="F203" s="50" t="n"/>
      <c r="G203" s="50" t="n"/>
      <c r="H203" s="50" t="n"/>
      <c r="J203" s="50" t="n"/>
      <c r="L203" s="25">
        <f>IF(D203="","",IF(H203="W",1,IF(H203="L",0,"")))</f>
        <v/>
      </c>
      <c r="M203" s="25">
        <f>IF(D203="","",COUNTIFS($D$2:D203,D203))</f>
        <v/>
      </c>
      <c r="N203" s="25">
        <f>IF(D203="","",D203&amp;"|"&amp;M203)</f>
        <v/>
      </c>
      <c r="O203" s="25">
        <f>IF(D203="","",COUNTIFS($D$2:D203,D203,$H$2:H203,"W"))</f>
        <v/>
      </c>
      <c r="P203" s="26">
        <f>IF(D203="","",IFERROR(O203/M203,""))</f>
        <v/>
      </c>
      <c r="Q203" s="25">
        <f>IF(G203="","",IF(G203=1,"1°","2°"))</f>
        <v/>
      </c>
      <c r="R203" s="25">
        <f>IF(B203="","",TEXT(B203,"mmm-yyyy"))</f>
        <v/>
      </c>
    </row>
    <row r="204" ht="15.75" customHeight="1" s="54">
      <c r="C204" s="50" t="n"/>
      <c r="D204" s="50" t="n"/>
      <c r="E204" s="50" t="n"/>
      <c r="F204" s="50" t="n"/>
      <c r="G204" s="50" t="n"/>
      <c r="H204" s="50" t="n"/>
      <c r="J204" s="50" t="n"/>
      <c r="L204" s="25">
        <f>IF(D204="","",IF(H204="W",1,IF(H204="L",0,"")))</f>
        <v/>
      </c>
      <c r="M204" s="25">
        <f>IF(D204="","",COUNTIFS($D$2:D204,D204))</f>
        <v/>
      </c>
      <c r="N204" s="25">
        <f>IF(D204="","",D204&amp;"|"&amp;M204)</f>
        <v/>
      </c>
      <c r="O204" s="25">
        <f>IF(D204="","",COUNTIFS($D$2:D204,D204,$H$2:H204,"W"))</f>
        <v/>
      </c>
      <c r="P204" s="26">
        <f>IF(D204="","",IFERROR(O204/M204,""))</f>
        <v/>
      </c>
      <c r="Q204" s="25">
        <f>IF(G204="","",IF(G204=1,"1°","2°"))</f>
        <v/>
      </c>
      <c r="R204" s="25">
        <f>IF(B204="","",TEXT(B204,"mmm-yyyy"))</f>
        <v/>
      </c>
    </row>
    <row r="205" ht="15.75" customHeight="1" s="54">
      <c r="C205" s="50" t="n"/>
      <c r="D205" s="50" t="n"/>
      <c r="E205" s="50" t="n"/>
      <c r="F205" s="50" t="n"/>
      <c r="G205" s="50" t="n"/>
      <c r="H205" s="50" t="n"/>
      <c r="J205" s="50" t="n"/>
      <c r="L205" s="25">
        <f>IF(D205="","",IF(H205="W",1,IF(H205="L",0,"")))</f>
        <v/>
      </c>
      <c r="M205" s="25">
        <f>IF(D205="","",COUNTIFS($D$2:D205,D205))</f>
        <v/>
      </c>
      <c r="N205" s="25">
        <f>IF(D205="","",D205&amp;"|"&amp;M205)</f>
        <v/>
      </c>
      <c r="O205" s="25">
        <f>IF(D205="","",COUNTIFS($D$2:D205,D205,$H$2:H205,"W"))</f>
        <v/>
      </c>
      <c r="P205" s="26">
        <f>IF(D205="","",IFERROR(O205/M205,""))</f>
        <v/>
      </c>
      <c r="Q205" s="25">
        <f>IF(G205="","",IF(G205=1,"1°","2°"))</f>
        <v/>
      </c>
      <c r="R205" s="25">
        <f>IF(B205="","",TEXT(B205,"mmm-yyyy"))</f>
        <v/>
      </c>
    </row>
    <row r="206" ht="15.75" customHeight="1" s="54">
      <c r="C206" s="50" t="n"/>
      <c r="D206" s="50" t="n"/>
      <c r="E206" s="50" t="n"/>
      <c r="F206" s="50" t="n"/>
      <c r="G206" s="50" t="n"/>
      <c r="H206" s="50" t="n"/>
      <c r="J206" s="50" t="n"/>
      <c r="L206" s="25">
        <f>IF(D206="","",IF(H206="W",1,IF(H206="L",0,"")))</f>
        <v/>
      </c>
      <c r="M206" s="25">
        <f>IF(D206="","",COUNTIFS($D$2:D206,D206))</f>
        <v/>
      </c>
      <c r="N206" s="25">
        <f>IF(D206="","",D206&amp;"|"&amp;M206)</f>
        <v/>
      </c>
      <c r="O206" s="25">
        <f>IF(D206="","",COUNTIFS($D$2:D206,D206,$H$2:H206,"W"))</f>
        <v/>
      </c>
      <c r="P206" s="26">
        <f>IF(D206="","",IFERROR(O206/M206,""))</f>
        <v/>
      </c>
      <c r="Q206" s="25">
        <f>IF(G206="","",IF(G206=1,"1°","2°"))</f>
        <v/>
      </c>
      <c r="R206" s="25">
        <f>IF(B206="","",TEXT(B206,"mmm-yyyy"))</f>
        <v/>
      </c>
    </row>
    <row r="207" ht="15.75" customHeight="1" s="54">
      <c r="C207" s="50" t="n"/>
      <c r="D207" s="50" t="n"/>
      <c r="E207" s="50" t="n"/>
      <c r="F207" s="50" t="n"/>
      <c r="G207" s="50" t="n"/>
      <c r="H207" s="50" t="n"/>
      <c r="J207" s="50" t="n"/>
      <c r="L207" s="25">
        <f>IF(D207="","",IF(H207="W",1,IF(H207="L",0,"")))</f>
        <v/>
      </c>
      <c r="M207" s="25">
        <f>IF(D207="","",COUNTIFS($D$2:D207,D207))</f>
        <v/>
      </c>
      <c r="N207" s="25">
        <f>IF(D207="","",D207&amp;"|"&amp;M207)</f>
        <v/>
      </c>
      <c r="O207" s="25">
        <f>IF(D207="","",COUNTIFS($D$2:D207,D207,$H$2:H207,"W"))</f>
        <v/>
      </c>
      <c r="P207" s="26">
        <f>IF(D207="","",IFERROR(O207/M207,""))</f>
        <v/>
      </c>
      <c r="Q207" s="25">
        <f>IF(G207="","",IF(G207=1,"1°","2°"))</f>
        <v/>
      </c>
      <c r="R207" s="25">
        <f>IF(B207="","",TEXT(B207,"mmm-yyyy"))</f>
        <v/>
      </c>
    </row>
    <row r="208" ht="15.75" customHeight="1" s="54">
      <c r="C208" s="50" t="n"/>
      <c r="D208" s="50" t="n"/>
      <c r="E208" s="50" t="n"/>
      <c r="F208" s="50" t="n"/>
      <c r="G208" s="50" t="n"/>
      <c r="H208" s="50" t="n"/>
      <c r="J208" s="50" t="n"/>
      <c r="L208" s="25">
        <f>IF(D208="","",IF(H208="W",1,IF(H208="L",0,"")))</f>
        <v/>
      </c>
      <c r="M208" s="25">
        <f>IF(D208="","",COUNTIFS($D$2:D208,D208))</f>
        <v/>
      </c>
      <c r="N208" s="25">
        <f>IF(D208="","",D208&amp;"|"&amp;M208)</f>
        <v/>
      </c>
      <c r="O208" s="25">
        <f>IF(D208="","",COUNTIFS($D$2:D208,D208,$H$2:H208,"W"))</f>
        <v/>
      </c>
      <c r="P208" s="26">
        <f>IF(D208="","",IFERROR(O208/M208,""))</f>
        <v/>
      </c>
      <c r="Q208" s="25">
        <f>IF(G208="","",IF(G208=1,"1°","2°"))</f>
        <v/>
      </c>
      <c r="R208" s="25">
        <f>IF(B208="","",TEXT(B208,"mmm-yyyy"))</f>
        <v/>
      </c>
    </row>
    <row r="209" ht="15.75" customHeight="1" s="54">
      <c r="C209" s="50" t="n"/>
      <c r="D209" s="50" t="n"/>
      <c r="E209" s="50" t="n"/>
      <c r="F209" s="50" t="n"/>
      <c r="G209" s="50" t="n"/>
      <c r="H209" s="50" t="n"/>
      <c r="J209" s="50" t="n"/>
      <c r="L209" s="25">
        <f>IF(D209="","",IF(H209="W",1,IF(H209="L",0,"")))</f>
        <v/>
      </c>
      <c r="M209" s="25">
        <f>IF(D209="","",COUNTIFS($D$2:D209,D209))</f>
        <v/>
      </c>
      <c r="N209" s="25">
        <f>IF(D209="","",D209&amp;"|"&amp;M209)</f>
        <v/>
      </c>
      <c r="O209" s="25">
        <f>IF(D209="","",COUNTIFS($D$2:D209,D209,$H$2:H209,"W"))</f>
        <v/>
      </c>
      <c r="P209" s="26">
        <f>IF(D209="","",IFERROR(O209/M209,""))</f>
        <v/>
      </c>
      <c r="Q209" s="25">
        <f>IF(G209="","",IF(G209=1,"1°","2°"))</f>
        <v/>
      </c>
      <c r="R209" s="25">
        <f>IF(B209="","",TEXT(B209,"mmm-yyyy"))</f>
        <v/>
      </c>
    </row>
    <row r="210" ht="15.75" customHeight="1" s="54">
      <c r="C210" s="50" t="n"/>
      <c r="D210" s="50" t="n"/>
      <c r="E210" s="50" t="n"/>
      <c r="F210" s="50" t="n"/>
      <c r="G210" s="50" t="n"/>
      <c r="H210" s="50" t="n"/>
      <c r="J210" s="50" t="n"/>
      <c r="L210" s="25">
        <f>IF(D210="","",IF(H210="W",1,IF(H210="L",0,"")))</f>
        <v/>
      </c>
      <c r="M210" s="25">
        <f>IF(D210="","",COUNTIFS($D$2:D210,D210))</f>
        <v/>
      </c>
      <c r="N210" s="25">
        <f>IF(D210="","",D210&amp;"|"&amp;M210)</f>
        <v/>
      </c>
      <c r="O210" s="25">
        <f>IF(D210="","",COUNTIFS($D$2:D210,D210,$H$2:H210,"W"))</f>
        <v/>
      </c>
      <c r="P210" s="26">
        <f>IF(D210="","",IFERROR(O210/M210,""))</f>
        <v/>
      </c>
      <c r="Q210" s="25">
        <f>IF(G210="","",IF(G210=1,"1°","2°"))</f>
        <v/>
      </c>
      <c r="R210" s="25">
        <f>IF(B210="","",TEXT(B210,"mmm-yyyy"))</f>
        <v/>
      </c>
    </row>
    <row r="211" ht="15.75" customHeight="1" s="54">
      <c r="C211" s="50" t="n"/>
      <c r="D211" s="50" t="n"/>
      <c r="E211" s="50" t="n"/>
      <c r="F211" s="50" t="n"/>
      <c r="G211" s="50" t="n"/>
      <c r="H211" s="50" t="n"/>
      <c r="J211" s="50" t="n"/>
      <c r="L211" s="25">
        <f>IF(D211="","",IF(H211="W",1,IF(H211="L",0,"")))</f>
        <v/>
      </c>
      <c r="M211" s="25">
        <f>IF(D211="","",COUNTIFS($D$2:D211,D211))</f>
        <v/>
      </c>
      <c r="N211" s="25">
        <f>IF(D211="","",D211&amp;"|"&amp;M211)</f>
        <v/>
      </c>
      <c r="O211" s="25">
        <f>IF(D211="","",COUNTIFS($D$2:D211,D211,$H$2:H211,"W"))</f>
        <v/>
      </c>
      <c r="P211" s="26">
        <f>IF(D211="","",IFERROR(O211/M211,""))</f>
        <v/>
      </c>
      <c r="Q211" s="25">
        <f>IF(G211="","",IF(G211=1,"1°","2°"))</f>
        <v/>
      </c>
      <c r="R211" s="25">
        <f>IF(B211="","",TEXT(B211,"mmm-yyyy"))</f>
        <v/>
      </c>
    </row>
    <row r="212" ht="15.75" customHeight="1" s="54">
      <c r="C212" s="50" t="n"/>
      <c r="D212" s="50" t="n"/>
      <c r="E212" s="50" t="n"/>
      <c r="F212" s="50" t="n"/>
      <c r="G212" s="50" t="n"/>
      <c r="H212" s="50" t="n"/>
      <c r="J212" s="50" t="n"/>
      <c r="L212" s="25">
        <f>IF(D212="","",IF(H212="W",1,IF(H212="L",0,"")))</f>
        <v/>
      </c>
      <c r="M212" s="25">
        <f>IF(D212="","",COUNTIFS($D$2:D212,D212))</f>
        <v/>
      </c>
      <c r="N212" s="25">
        <f>IF(D212="","",D212&amp;"|"&amp;M212)</f>
        <v/>
      </c>
      <c r="O212" s="25">
        <f>IF(D212="","",COUNTIFS($D$2:D212,D212,$H$2:H212,"W"))</f>
        <v/>
      </c>
      <c r="P212" s="26">
        <f>IF(D212="","",IFERROR(O212/M212,""))</f>
        <v/>
      </c>
      <c r="Q212" s="25">
        <f>IF(G212="","",IF(G212=1,"1°","2°"))</f>
        <v/>
      </c>
      <c r="R212" s="25">
        <f>IF(B212="","",TEXT(B212,"mmm-yyyy"))</f>
        <v/>
      </c>
    </row>
    <row r="213" ht="15.75" customHeight="1" s="54">
      <c r="C213" s="50" t="n"/>
      <c r="D213" s="50" t="n"/>
      <c r="E213" s="50" t="n"/>
      <c r="F213" s="50" t="n"/>
      <c r="G213" s="50" t="n"/>
      <c r="H213" s="50" t="n"/>
      <c r="J213" s="50" t="n"/>
      <c r="L213" s="25">
        <f>IF(D213="","",IF(H213="W",1,IF(H213="L",0,"")))</f>
        <v/>
      </c>
      <c r="M213" s="25">
        <f>IF(D213="","",COUNTIFS($D$2:D213,D213))</f>
        <v/>
      </c>
      <c r="N213" s="25">
        <f>IF(D213="","",D213&amp;"|"&amp;M213)</f>
        <v/>
      </c>
      <c r="O213" s="25">
        <f>IF(D213="","",COUNTIFS($D$2:D213,D213,$H$2:H213,"W"))</f>
        <v/>
      </c>
      <c r="P213" s="26">
        <f>IF(D213="","",IFERROR(O213/M213,""))</f>
        <v/>
      </c>
      <c r="Q213" s="25">
        <f>IF(G213="","",IF(G213=1,"1°","2°"))</f>
        <v/>
      </c>
      <c r="R213" s="25">
        <f>IF(B213="","",TEXT(B213,"mmm-yyyy"))</f>
        <v/>
      </c>
    </row>
    <row r="214" ht="15.75" customHeight="1" s="54">
      <c r="C214" s="50" t="n"/>
      <c r="D214" s="50" t="n"/>
      <c r="E214" s="50" t="n"/>
      <c r="F214" s="50" t="n"/>
      <c r="G214" s="50" t="n"/>
      <c r="H214" s="50" t="n"/>
      <c r="J214" s="50" t="n"/>
      <c r="L214" s="25">
        <f>IF(D214="","",IF(H214="W",1,IF(H214="L",0,"")))</f>
        <v/>
      </c>
      <c r="M214" s="25">
        <f>IF(D214="","",COUNTIFS($D$2:D214,D214))</f>
        <v/>
      </c>
      <c r="N214" s="25">
        <f>IF(D214="","",D214&amp;"|"&amp;M214)</f>
        <v/>
      </c>
      <c r="O214" s="25">
        <f>IF(D214="","",COUNTIFS($D$2:D214,D214,$H$2:H214,"W"))</f>
        <v/>
      </c>
      <c r="P214" s="26">
        <f>IF(D214="","",IFERROR(O214/M214,""))</f>
        <v/>
      </c>
      <c r="Q214" s="25">
        <f>IF(G214="","",IF(G214=1,"1°","2°"))</f>
        <v/>
      </c>
      <c r="R214" s="25">
        <f>IF(B214="","",TEXT(B214,"mmm-yyyy"))</f>
        <v/>
      </c>
    </row>
    <row r="215" ht="15.75" customHeight="1" s="54">
      <c r="C215" s="50" t="n"/>
      <c r="D215" s="50" t="n"/>
      <c r="E215" s="50" t="n"/>
      <c r="F215" s="50" t="n"/>
      <c r="G215" s="50" t="n"/>
      <c r="H215" s="50" t="n"/>
      <c r="J215" s="50" t="n"/>
      <c r="L215" s="25">
        <f>IF(D215="","",IF(H215="W",1,IF(H215="L",0,"")))</f>
        <v/>
      </c>
      <c r="M215" s="25">
        <f>IF(D215="","",COUNTIFS($D$2:D215,D215))</f>
        <v/>
      </c>
      <c r="N215" s="25">
        <f>IF(D215="","",D215&amp;"|"&amp;M215)</f>
        <v/>
      </c>
      <c r="O215" s="25">
        <f>IF(D215="","",COUNTIFS($D$2:D215,D215,$H$2:H215,"W"))</f>
        <v/>
      </c>
      <c r="P215" s="26">
        <f>IF(D215="","",IFERROR(O215/M215,""))</f>
        <v/>
      </c>
      <c r="Q215" s="25">
        <f>IF(G215="","",IF(G215=1,"1°","2°"))</f>
        <v/>
      </c>
      <c r="R215" s="25">
        <f>IF(B215="","",TEXT(B215,"mmm-yyyy"))</f>
        <v/>
      </c>
    </row>
    <row r="216" ht="15.75" customHeight="1" s="54">
      <c r="C216" s="50" t="n"/>
      <c r="D216" s="50" t="n"/>
      <c r="E216" s="50" t="n"/>
      <c r="F216" s="50" t="n"/>
      <c r="G216" s="50" t="n"/>
      <c r="H216" s="50" t="n"/>
      <c r="J216" s="50" t="n"/>
      <c r="L216" s="25">
        <f>IF(D216="","",IF(H216="W",1,IF(H216="L",0,"")))</f>
        <v/>
      </c>
      <c r="M216" s="25">
        <f>IF(D216="","",COUNTIFS($D$2:D216,D216))</f>
        <v/>
      </c>
      <c r="N216" s="25">
        <f>IF(D216="","",D216&amp;"|"&amp;M216)</f>
        <v/>
      </c>
      <c r="O216" s="25">
        <f>IF(D216="","",COUNTIFS($D$2:D216,D216,$H$2:H216,"W"))</f>
        <v/>
      </c>
      <c r="P216" s="26">
        <f>IF(D216="","",IFERROR(O216/M216,""))</f>
        <v/>
      </c>
      <c r="Q216" s="25">
        <f>IF(G216="","",IF(G216=1,"1°","2°"))</f>
        <v/>
      </c>
      <c r="R216" s="25">
        <f>IF(B216="","",TEXT(B216,"mmm-yyyy"))</f>
        <v/>
      </c>
    </row>
    <row r="217" ht="15.75" customHeight="1" s="54">
      <c r="C217" s="50" t="n"/>
      <c r="D217" s="50" t="n"/>
      <c r="E217" s="50" t="n"/>
      <c r="F217" s="50" t="n"/>
      <c r="G217" s="50" t="n"/>
      <c r="H217" s="50" t="n"/>
      <c r="J217" s="50" t="n"/>
      <c r="L217" s="25">
        <f>IF(D217="","",IF(H217="W",1,IF(H217="L",0,"")))</f>
        <v/>
      </c>
      <c r="M217" s="25">
        <f>IF(D217="","",COUNTIFS($D$2:D217,D217))</f>
        <v/>
      </c>
      <c r="N217" s="25">
        <f>IF(D217="","",D217&amp;"|"&amp;M217)</f>
        <v/>
      </c>
      <c r="O217" s="25">
        <f>IF(D217="","",COUNTIFS($D$2:D217,D217,$H$2:H217,"W"))</f>
        <v/>
      </c>
      <c r="P217" s="26">
        <f>IF(D217="","",IFERROR(O217/M217,""))</f>
        <v/>
      </c>
      <c r="Q217" s="25">
        <f>IF(G217="","",IF(G217=1,"1°","2°"))</f>
        <v/>
      </c>
      <c r="R217" s="25">
        <f>IF(B217="","",TEXT(B217,"mmm-yyyy"))</f>
        <v/>
      </c>
    </row>
    <row r="218" ht="15.75" customHeight="1" s="54">
      <c r="C218" s="50" t="n"/>
      <c r="D218" s="50" t="n"/>
      <c r="E218" s="50" t="n"/>
      <c r="F218" s="50" t="n"/>
      <c r="G218" s="50" t="n"/>
      <c r="H218" s="50" t="n"/>
      <c r="J218" s="50" t="n"/>
      <c r="L218" s="25">
        <f>IF(D218="","",IF(H218="W",1,IF(H218="L",0,"")))</f>
        <v/>
      </c>
      <c r="M218" s="25">
        <f>IF(D218="","",COUNTIFS($D$2:D218,D218))</f>
        <v/>
      </c>
      <c r="N218" s="25">
        <f>IF(D218="","",D218&amp;"|"&amp;M218)</f>
        <v/>
      </c>
      <c r="O218" s="25">
        <f>IF(D218="","",COUNTIFS($D$2:D218,D218,$H$2:H218,"W"))</f>
        <v/>
      </c>
      <c r="P218" s="26">
        <f>IF(D218="","",IFERROR(O218/M218,""))</f>
        <v/>
      </c>
      <c r="Q218" s="25">
        <f>IF(G218="","",IF(G218=1,"1°","2°"))</f>
        <v/>
      </c>
      <c r="R218" s="25">
        <f>IF(B218="","",TEXT(B218,"mmm-yyyy"))</f>
        <v/>
      </c>
    </row>
    <row r="219" ht="15.75" customHeight="1" s="54">
      <c r="C219" s="50" t="n"/>
      <c r="D219" s="50" t="n"/>
      <c r="E219" s="50" t="n"/>
      <c r="F219" s="50" t="n"/>
      <c r="G219" s="50" t="n"/>
      <c r="H219" s="50" t="n"/>
      <c r="J219" s="50" t="n"/>
      <c r="L219" s="25">
        <f>IF(D219="","",IF(H219="W",1,IF(H219="L",0,"")))</f>
        <v/>
      </c>
      <c r="M219" s="25">
        <f>IF(D219="","",COUNTIFS($D$2:D219,D219))</f>
        <v/>
      </c>
      <c r="N219" s="25">
        <f>IF(D219="","",D219&amp;"|"&amp;M219)</f>
        <v/>
      </c>
      <c r="O219" s="25">
        <f>IF(D219="","",COUNTIFS($D$2:D219,D219,$H$2:H219,"W"))</f>
        <v/>
      </c>
      <c r="P219" s="26">
        <f>IF(D219="","",IFERROR(O219/M219,""))</f>
        <v/>
      </c>
      <c r="Q219" s="25">
        <f>IF(G219="","",IF(G219=1,"1°","2°"))</f>
        <v/>
      </c>
      <c r="R219" s="25">
        <f>IF(B219="","",TEXT(B219,"mmm-yyyy"))</f>
        <v/>
      </c>
    </row>
    <row r="220" ht="15.75" customHeight="1" s="54">
      <c r="C220" s="50" t="n"/>
      <c r="D220" s="50" t="n"/>
      <c r="E220" s="50" t="n"/>
      <c r="F220" s="50" t="n"/>
      <c r="G220" s="50" t="n"/>
      <c r="H220" s="50" t="n"/>
      <c r="J220" s="50" t="n"/>
      <c r="L220" s="25">
        <f>IF(D220="","",IF(H220="W",1,IF(H220="L",0,"")))</f>
        <v/>
      </c>
      <c r="M220" s="25">
        <f>IF(D220="","",COUNTIFS($D$2:D220,D220))</f>
        <v/>
      </c>
      <c r="N220" s="25">
        <f>IF(D220="","",D220&amp;"|"&amp;M220)</f>
        <v/>
      </c>
      <c r="O220" s="25">
        <f>IF(D220="","",COUNTIFS($D$2:D220,D220,$H$2:H220,"W"))</f>
        <v/>
      </c>
      <c r="P220" s="26">
        <f>IF(D220="","",IFERROR(O220/M220,""))</f>
        <v/>
      </c>
      <c r="Q220" s="25">
        <f>IF(G220="","",IF(G220=1,"1°","2°"))</f>
        <v/>
      </c>
      <c r="R220" s="25">
        <f>IF(B220="","",TEXT(B220,"mmm-yyyy"))</f>
        <v/>
      </c>
    </row>
    <row r="221" ht="15.75" customHeight="1" s="54">
      <c r="C221" s="50" t="n"/>
      <c r="D221" s="50" t="n"/>
      <c r="E221" s="50" t="n"/>
      <c r="F221" s="50" t="n"/>
      <c r="G221" s="50" t="n"/>
      <c r="H221" s="50" t="n"/>
      <c r="J221" s="50" t="n"/>
      <c r="L221" s="25">
        <f>IF(D221="","",IF(H221="W",1,IF(H221="L",0,"")))</f>
        <v/>
      </c>
      <c r="M221" s="25">
        <f>IF(D221="","",COUNTIFS($D$2:D221,D221))</f>
        <v/>
      </c>
      <c r="N221" s="25">
        <f>IF(D221="","",D221&amp;"|"&amp;M221)</f>
        <v/>
      </c>
      <c r="O221" s="25">
        <f>IF(D221="","",COUNTIFS($D$2:D221,D221,$H$2:H221,"W"))</f>
        <v/>
      </c>
      <c r="P221" s="26">
        <f>IF(D221="","",IFERROR(O221/M221,""))</f>
        <v/>
      </c>
      <c r="Q221" s="25">
        <f>IF(G221="","",IF(G221=1,"1°","2°"))</f>
        <v/>
      </c>
      <c r="R221" s="25">
        <f>IF(B221="","",TEXT(B221,"mmm-yyyy"))</f>
        <v/>
      </c>
    </row>
    <row r="222" ht="15.75" customHeight="1" s="54">
      <c r="C222" s="50" t="n"/>
      <c r="D222" s="50" t="n"/>
      <c r="E222" s="50" t="n"/>
      <c r="F222" s="50" t="n"/>
      <c r="G222" s="50" t="n"/>
      <c r="H222" s="50" t="n"/>
      <c r="J222" s="50" t="n"/>
      <c r="L222" s="25">
        <f>IF(D222="","",IF(H222="W",1,IF(H222="L",0,"")))</f>
        <v/>
      </c>
      <c r="M222" s="25">
        <f>IF(D222="","",COUNTIFS($D$2:D222,D222))</f>
        <v/>
      </c>
      <c r="N222" s="25">
        <f>IF(D222="","",D222&amp;"|"&amp;M222)</f>
        <v/>
      </c>
      <c r="O222" s="25">
        <f>IF(D222="","",COUNTIFS($D$2:D222,D222,$H$2:H222,"W"))</f>
        <v/>
      </c>
      <c r="P222" s="26">
        <f>IF(D222="","",IFERROR(O222/M222,""))</f>
        <v/>
      </c>
      <c r="Q222" s="25">
        <f>IF(G222="","",IF(G222=1,"1°","2°"))</f>
        <v/>
      </c>
      <c r="R222" s="25">
        <f>IF(B222="","",TEXT(B222,"mmm-yyyy"))</f>
        <v/>
      </c>
    </row>
    <row r="223" ht="15.75" customHeight="1" s="54">
      <c r="C223" s="50" t="n"/>
      <c r="D223" s="50" t="n"/>
      <c r="E223" s="50" t="n"/>
      <c r="F223" s="50" t="n"/>
      <c r="G223" s="50" t="n"/>
      <c r="H223" s="50" t="n"/>
      <c r="J223" s="50" t="n"/>
      <c r="L223" s="25">
        <f>IF(D223="","",IF(H223="W",1,IF(H223="L",0,"")))</f>
        <v/>
      </c>
      <c r="M223" s="25">
        <f>IF(D223="","",COUNTIFS($D$2:D223,D223))</f>
        <v/>
      </c>
      <c r="N223" s="25">
        <f>IF(D223="","",D223&amp;"|"&amp;M223)</f>
        <v/>
      </c>
      <c r="O223" s="25">
        <f>IF(D223="","",COUNTIFS($D$2:D223,D223,$H$2:H223,"W"))</f>
        <v/>
      </c>
      <c r="P223" s="26">
        <f>IF(D223="","",IFERROR(O223/M223,""))</f>
        <v/>
      </c>
      <c r="Q223" s="25">
        <f>IF(G223="","",IF(G223=1,"1°","2°"))</f>
        <v/>
      </c>
      <c r="R223" s="25">
        <f>IF(B223="","",TEXT(B223,"mmm-yyyy"))</f>
        <v/>
      </c>
    </row>
    <row r="224" ht="15.75" customHeight="1" s="54">
      <c r="C224" s="50" t="n"/>
      <c r="D224" s="50" t="n"/>
      <c r="E224" s="50" t="n"/>
      <c r="F224" s="50" t="n"/>
      <c r="G224" s="50" t="n"/>
      <c r="H224" s="50" t="n"/>
      <c r="J224" s="50" t="n"/>
      <c r="L224" s="25">
        <f>IF(D224="","",IF(H224="W",1,IF(H224="L",0,"")))</f>
        <v/>
      </c>
      <c r="M224" s="25">
        <f>IF(D224="","",COUNTIFS($D$2:D224,D224))</f>
        <v/>
      </c>
      <c r="N224" s="25">
        <f>IF(D224="","",D224&amp;"|"&amp;M224)</f>
        <v/>
      </c>
      <c r="O224" s="25">
        <f>IF(D224="","",COUNTIFS($D$2:D224,D224,$H$2:H224,"W"))</f>
        <v/>
      </c>
      <c r="P224" s="26">
        <f>IF(D224="","",IFERROR(O224/M224,""))</f>
        <v/>
      </c>
      <c r="Q224" s="25">
        <f>IF(G224="","",IF(G224=1,"1°","2°"))</f>
        <v/>
      </c>
      <c r="R224" s="25">
        <f>IF(B224="","",TEXT(B224,"mmm-yyyy"))</f>
        <v/>
      </c>
    </row>
    <row r="225" ht="15.75" customHeight="1" s="54">
      <c r="C225" s="50" t="n"/>
      <c r="D225" s="50" t="n"/>
      <c r="E225" s="50" t="n"/>
      <c r="F225" s="50" t="n"/>
      <c r="G225" s="50" t="n"/>
      <c r="H225" s="50" t="n"/>
      <c r="J225" s="50" t="n"/>
      <c r="L225" s="25">
        <f>IF(D225="","",IF(H225="W",1,IF(H225="L",0,"")))</f>
        <v/>
      </c>
      <c r="M225" s="25">
        <f>IF(D225="","",COUNTIFS($D$2:D225,D225))</f>
        <v/>
      </c>
      <c r="N225" s="25">
        <f>IF(D225="","",D225&amp;"|"&amp;M225)</f>
        <v/>
      </c>
      <c r="O225" s="25">
        <f>IF(D225="","",COUNTIFS($D$2:D225,D225,$H$2:H225,"W"))</f>
        <v/>
      </c>
      <c r="P225" s="26">
        <f>IF(D225="","",IFERROR(O225/M225,""))</f>
        <v/>
      </c>
      <c r="Q225" s="25">
        <f>IF(G225="","",IF(G225=1,"1°","2°"))</f>
        <v/>
      </c>
      <c r="R225" s="25">
        <f>IF(B225="","",TEXT(B225,"mmm-yyyy"))</f>
        <v/>
      </c>
    </row>
    <row r="226" ht="15.75" customHeight="1" s="54">
      <c r="C226" s="50" t="n"/>
      <c r="D226" s="50" t="n"/>
      <c r="E226" s="50" t="n"/>
      <c r="F226" s="50" t="n"/>
      <c r="G226" s="50" t="n"/>
      <c r="H226" s="50" t="n"/>
      <c r="J226" s="50" t="n"/>
      <c r="L226" s="25">
        <f>IF(D226="","",IF(H226="W",1,IF(H226="L",0,"")))</f>
        <v/>
      </c>
      <c r="M226" s="25">
        <f>IF(D226="","",COUNTIFS($D$2:D226,D226))</f>
        <v/>
      </c>
      <c r="N226" s="25">
        <f>IF(D226="","",D226&amp;"|"&amp;M226)</f>
        <v/>
      </c>
      <c r="O226" s="25">
        <f>IF(D226="","",COUNTIFS($D$2:D226,D226,$H$2:H226,"W"))</f>
        <v/>
      </c>
      <c r="P226" s="26">
        <f>IF(D226="","",IFERROR(O226/M226,""))</f>
        <v/>
      </c>
      <c r="Q226" s="25">
        <f>IF(G226="","",IF(G226=1,"1°","2°"))</f>
        <v/>
      </c>
      <c r="R226" s="25">
        <f>IF(B226="","",TEXT(B226,"mmm-yyyy"))</f>
        <v/>
      </c>
    </row>
    <row r="227" ht="15.75" customHeight="1" s="54">
      <c r="C227" s="50" t="n"/>
      <c r="D227" s="50" t="n"/>
      <c r="E227" s="50" t="n"/>
      <c r="F227" s="50" t="n"/>
      <c r="G227" s="50" t="n"/>
      <c r="H227" s="50" t="n"/>
      <c r="J227" s="50" t="n"/>
      <c r="L227" s="25">
        <f>IF(D227="","",IF(H227="W",1,IF(H227="L",0,"")))</f>
        <v/>
      </c>
      <c r="M227" s="25">
        <f>IF(D227="","",COUNTIFS($D$2:D227,D227))</f>
        <v/>
      </c>
      <c r="N227" s="25">
        <f>IF(D227="","",D227&amp;"|"&amp;M227)</f>
        <v/>
      </c>
      <c r="O227" s="25">
        <f>IF(D227="","",COUNTIFS($D$2:D227,D227,$H$2:H227,"W"))</f>
        <v/>
      </c>
      <c r="P227" s="26">
        <f>IF(D227="","",IFERROR(O227/M227,""))</f>
        <v/>
      </c>
      <c r="Q227" s="25">
        <f>IF(G227="","",IF(G227=1,"1°","2°"))</f>
        <v/>
      </c>
      <c r="R227" s="25">
        <f>IF(B227="","",TEXT(B227,"mmm-yyyy"))</f>
        <v/>
      </c>
    </row>
    <row r="228" ht="15.75" customHeight="1" s="54">
      <c r="C228" s="50" t="n"/>
      <c r="D228" s="50" t="n"/>
      <c r="E228" s="50" t="n"/>
      <c r="F228" s="50" t="n"/>
      <c r="G228" s="50" t="n"/>
      <c r="H228" s="50" t="n"/>
      <c r="J228" s="50" t="n"/>
      <c r="L228" s="25">
        <f>IF(D228="","",IF(H228="W",1,IF(H228="L",0,"")))</f>
        <v/>
      </c>
      <c r="M228" s="25">
        <f>IF(D228="","",COUNTIFS($D$2:D228,D228))</f>
        <v/>
      </c>
      <c r="N228" s="25">
        <f>IF(D228="","",D228&amp;"|"&amp;M228)</f>
        <v/>
      </c>
      <c r="O228" s="25">
        <f>IF(D228="","",COUNTIFS($D$2:D228,D228,$H$2:H228,"W"))</f>
        <v/>
      </c>
      <c r="P228" s="26">
        <f>IF(D228="","",IFERROR(O228/M228,""))</f>
        <v/>
      </c>
      <c r="Q228" s="25">
        <f>IF(G228="","",IF(G228=1,"1°","2°"))</f>
        <v/>
      </c>
      <c r="R228" s="25">
        <f>IF(B228="","",TEXT(B228,"mmm-yyyy"))</f>
        <v/>
      </c>
    </row>
    <row r="229" ht="15.75" customHeight="1" s="54">
      <c r="C229" s="50" t="n"/>
      <c r="D229" s="50" t="n"/>
      <c r="E229" s="50" t="n"/>
      <c r="F229" s="50" t="n"/>
      <c r="G229" s="50" t="n"/>
      <c r="H229" s="50" t="n"/>
      <c r="J229" s="50" t="n"/>
      <c r="L229" s="25">
        <f>IF(D229="","",IF(H229="W",1,IF(H229="L",0,"")))</f>
        <v/>
      </c>
      <c r="M229" s="25">
        <f>IF(D229="","",COUNTIFS($D$2:D229,D229))</f>
        <v/>
      </c>
      <c r="N229" s="25">
        <f>IF(D229="","",D229&amp;"|"&amp;M229)</f>
        <v/>
      </c>
      <c r="O229" s="25">
        <f>IF(D229="","",COUNTIFS($D$2:D229,D229,$H$2:H229,"W"))</f>
        <v/>
      </c>
      <c r="P229" s="26">
        <f>IF(D229="","",IFERROR(O229/M229,""))</f>
        <v/>
      </c>
      <c r="Q229" s="25">
        <f>IF(G229="","",IF(G229=1,"1°","2°"))</f>
        <v/>
      </c>
      <c r="R229" s="25">
        <f>IF(B229="","",TEXT(B229,"mmm-yyyy"))</f>
        <v/>
      </c>
    </row>
    <row r="230" ht="15.75" customHeight="1" s="54">
      <c r="C230" s="50" t="n"/>
      <c r="D230" s="50" t="n"/>
      <c r="E230" s="50" t="n"/>
      <c r="F230" s="50" t="n"/>
      <c r="G230" s="50" t="n"/>
      <c r="H230" s="50" t="n"/>
      <c r="J230" s="50" t="n"/>
      <c r="L230" s="25">
        <f>IF(D230="","",IF(H230="W",1,IF(H230="L",0,"")))</f>
        <v/>
      </c>
      <c r="M230" s="25">
        <f>IF(D230="","",COUNTIFS($D$2:D230,D230))</f>
        <v/>
      </c>
      <c r="N230" s="25">
        <f>IF(D230="","",D230&amp;"|"&amp;M230)</f>
        <v/>
      </c>
      <c r="O230" s="25">
        <f>IF(D230="","",COUNTIFS($D$2:D230,D230,$H$2:H230,"W"))</f>
        <v/>
      </c>
      <c r="P230" s="26">
        <f>IF(D230="","",IFERROR(O230/M230,""))</f>
        <v/>
      </c>
      <c r="Q230" s="25">
        <f>IF(G230="","",IF(G230=1,"1°","2°"))</f>
        <v/>
      </c>
      <c r="R230" s="25">
        <f>IF(B230="","",TEXT(B230,"mmm-yyyy"))</f>
        <v/>
      </c>
    </row>
    <row r="231" ht="15.75" customHeight="1" s="54">
      <c r="C231" s="50" t="n"/>
      <c r="D231" s="50" t="n"/>
      <c r="E231" s="50" t="n"/>
      <c r="F231" s="50" t="n"/>
      <c r="G231" s="50" t="n"/>
      <c r="H231" s="50" t="n"/>
      <c r="J231" s="50" t="n"/>
      <c r="L231" s="25">
        <f>IF(D231="","",IF(H231="W",1,IF(H231="L",0,"")))</f>
        <v/>
      </c>
      <c r="M231" s="25">
        <f>IF(D231="","",COUNTIFS($D$2:D231,D231))</f>
        <v/>
      </c>
      <c r="N231" s="25">
        <f>IF(D231="","",D231&amp;"|"&amp;M231)</f>
        <v/>
      </c>
      <c r="O231" s="25">
        <f>IF(D231="","",COUNTIFS($D$2:D231,D231,$H$2:H231,"W"))</f>
        <v/>
      </c>
      <c r="P231" s="26">
        <f>IF(D231="","",IFERROR(O231/M231,""))</f>
        <v/>
      </c>
      <c r="Q231" s="25">
        <f>IF(G231="","",IF(G231=1,"1°","2°"))</f>
        <v/>
      </c>
      <c r="R231" s="25">
        <f>IF(B231="","",TEXT(B231,"mmm-yyyy"))</f>
        <v/>
      </c>
    </row>
    <row r="232" ht="15.75" customHeight="1" s="54">
      <c r="C232" s="50" t="n"/>
      <c r="D232" s="50" t="n"/>
      <c r="E232" s="50" t="n"/>
      <c r="F232" s="50" t="n"/>
      <c r="G232" s="50" t="n"/>
      <c r="H232" s="50" t="n"/>
      <c r="J232" s="50" t="n"/>
      <c r="L232" s="25">
        <f>IF(D232="","",IF(H232="W",1,IF(H232="L",0,"")))</f>
        <v/>
      </c>
      <c r="M232" s="25">
        <f>IF(D232="","",COUNTIFS($D$2:D232,D232))</f>
        <v/>
      </c>
      <c r="N232" s="25">
        <f>IF(D232="","",D232&amp;"|"&amp;M232)</f>
        <v/>
      </c>
      <c r="O232" s="25">
        <f>IF(D232="","",COUNTIFS($D$2:D232,D232,$H$2:H232,"W"))</f>
        <v/>
      </c>
      <c r="P232" s="26">
        <f>IF(D232="","",IFERROR(O232/M232,""))</f>
        <v/>
      </c>
      <c r="Q232" s="25">
        <f>IF(G232="","",IF(G232=1,"1°","2°"))</f>
        <v/>
      </c>
      <c r="R232" s="25">
        <f>IF(B232="","",TEXT(B232,"mmm-yyyy"))</f>
        <v/>
      </c>
    </row>
    <row r="233" ht="15.75" customHeight="1" s="54">
      <c r="C233" s="50" t="n"/>
      <c r="D233" s="50" t="n"/>
      <c r="E233" s="50" t="n"/>
      <c r="F233" s="50" t="n"/>
      <c r="G233" s="50" t="n"/>
      <c r="H233" s="50" t="n"/>
      <c r="J233" s="50" t="n"/>
      <c r="L233" s="25">
        <f>IF(D233="","",IF(H233="W",1,IF(H233="L",0,"")))</f>
        <v/>
      </c>
      <c r="M233" s="25">
        <f>IF(D233="","",COUNTIFS($D$2:D233,D233))</f>
        <v/>
      </c>
      <c r="N233" s="25">
        <f>IF(D233="","",D233&amp;"|"&amp;M233)</f>
        <v/>
      </c>
      <c r="O233" s="25">
        <f>IF(D233="","",COUNTIFS($D$2:D233,D233,$H$2:H233,"W"))</f>
        <v/>
      </c>
      <c r="P233" s="26">
        <f>IF(D233="","",IFERROR(O233/M233,""))</f>
        <v/>
      </c>
      <c r="Q233" s="25">
        <f>IF(G233="","",IF(G233=1,"1°","2°"))</f>
        <v/>
      </c>
      <c r="R233" s="25">
        <f>IF(B233="","",TEXT(B233,"mmm-yyyy"))</f>
        <v/>
      </c>
    </row>
    <row r="234" ht="15.75" customHeight="1" s="54">
      <c r="C234" s="50" t="n"/>
      <c r="D234" s="50" t="n"/>
      <c r="E234" s="50" t="n"/>
      <c r="F234" s="50" t="n"/>
      <c r="G234" s="50" t="n"/>
      <c r="H234" s="50" t="n"/>
      <c r="J234" s="50" t="n"/>
      <c r="L234" s="25">
        <f>IF(D234="","",IF(H234="W",1,IF(H234="L",0,"")))</f>
        <v/>
      </c>
      <c r="M234" s="25">
        <f>IF(D234="","",COUNTIFS($D$2:D234,D234))</f>
        <v/>
      </c>
      <c r="N234" s="25">
        <f>IF(D234="","",D234&amp;"|"&amp;M234)</f>
        <v/>
      </c>
      <c r="O234" s="25">
        <f>IF(D234="","",COUNTIFS($D$2:D234,D234,$H$2:H234,"W"))</f>
        <v/>
      </c>
      <c r="P234" s="26">
        <f>IF(D234="","",IFERROR(O234/M234,""))</f>
        <v/>
      </c>
      <c r="Q234" s="25">
        <f>IF(G234="","",IF(G234=1,"1°","2°"))</f>
        <v/>
      </c>
      <c r="R234" s="25">
        <f>IF(B234="","",TEXT(B234,"mmm-yyyy"))</f>
        <v/>
      </c>
    </row>
    <row r="235" ht="15.75" customHeight="1" s="54">
      <c r="C235" s="50" t="n"/>
      <c r="D235" s="50" t="n"/>
      <c r="E235" s="50" t="n"/>
      <c r="F235" s="50" t="n"/>
      <c r="G235" s="50" t="n"/>
      <c r="H235" s="50" t="n"/>
      <c r="J235" s="50" t="n"/>
      <c r="L235" s="25">
        <f>IF(D235="","",IF(H235="W",1,IF(H235="L",0,"")))</f>
        <v/>
      </c>
      <c r="M235" s="25">
        <f>IF(D235="","",COUNTIFS($D$2:D235,D235))</f>
        <v/>
      </c>
      <c r="N235" s="25">
        <f>IF(D235="","",D235&amp;"|"&amp;M235)</f>
        <v/>
      </c>
      <c r="O235" s="25">
        <f>IF(D235="","",COUNTIFS($D$2:D235,D235,$H$2:H235,"W"))</f>
        <v/>
      </c>
      <c r="P235" s="26">
        <f>IF(D235="","",IFERROR(O235/M235,""))</f>
        <v/>
      </c>
      <c r="Q235" s="25">
        <f>IF(G235="","",IF(G235=1,"1°","2°"))</f>
        <v/>
      </c>
      <c r="R235" s="25">
        <f>IF(B235="","",TEXT(B235,"mmm-yyyy"))</f>
        <v/>
      </c>
    </row>
    <row r="236" ht="15.75" customHeight="1" s="54">
      <c r="C236" s="50" t="n"/>
      <c r="D236" s="50" t="n"/>
      <c r="E236" s="50" t="n"/>
      <c r="F236" s="50" t="n"/>
      <c r="G236" s="50" t="n"/>
      <c r="H236" s="50" t="n"/>
      <c r="J236" s="50" t="n"/>
      <c r="L236" s="25">
        <f>IF(D236="","",IF(H236="W",1,IF(H236="L",0,"")))</f>
        <v/>
      </c>
      <c r="M236" s="25">
        <f>IF(D236="","",COUNTIFS($D$2:D236,D236))</f>
        <v/>
      </c>
      <c r="N236" s="25">
        <f>IF(D236="","",D236&amp;"|"&amp;M236)</f>
        <v/>
      </c>
      <c r="O236" s="25">
        <f>IF(D236="","",COUNTIFS($D$2:D236,D236,$H$2:H236,"W"))</f>
        <v/>
      </c>
      <c r="P236" s="26">
        <f>IF(D236="","",IFERROR(O236/M236,""))</f>
        <v/>
      </c>
      <c r="Q236" s="25">
        <f>IF(G236="","",IF(G236=1,"1°","2°"))</f>
        <v/>
      </c>
      <c r="R236" s="25">
        <f>IF(B236="","",TEXT(B236,"mmm-yyyy"))</f>
        <v/>
      </c>
    </row>
    <row r="237" ht="15.75" customHeight="1" s="54">
      <c r="C237" s="50" t="n"/>
      <c r="D237" s="50" t="n"/>
      <c r="E237" s="50" t="n"/>
      <c r="F237" s="50" t="n"/>
      <c r="G237" s="50" t="n"/>
      <c r="H237" s="50" t="n"/>
      <c r="J237" s="50" t="n"/>
      <c r="L237" s="25">
        <f>IF(D237="","",IF(H237="W",1,IF(H237="L",0,"")))</f>
        <v/>
      </c>
      <c r="M237" s="25">
        <f>IF(D237="","",COUNTIFS($D$2:D237,D237))</f>
        <v/>
      </c>
      <c r="N237" s="25">
        <f>IF(D237="","",D237&amp;"|"&amp;M237)</f>
        <v/>
      </c>
      <c r="O237" s="25">
        <f>IF(D237="","",COUNTIFS($D$2:D237,D237,$H$2:H237,"W"))</f>
        <v/>
      </c>
      <c r="P237" s="26">
        <f>IF(D237="","",IFERROR(O237/M237,""))</f>
        <v/>
      </c>
      <c r="Q237" s="25">
        <f>IF(G237="","",IF(G237=1,"1°","2°"))</f>
        <v/>
      </c>
      <c r="R237" s="25">
        <f>IF(B237="","",TEXT(B237,"mmm-yyyy"))</f>
        <v/>
      </c>
    </row>
    <row r="238" ht="15.75" customHeight="1" s="54">
      <c r="C238" s="50" t="n"/>
      <c r="D238" s="50" t="n"/>
      <c r="E238" s="50" t="n"/>
      <c r="F238" s="50" t="n"/>
      <c r="G238" s="50" t="n"/>
      <c r="H238" s="50" t="n"/>
      <c r="J238" s="50" t="n"/>
      <c r="L238" s="25">
        <f>IF(D238="","",IF(H238="W",1,IF(H238="L",0,"")))</f>
        <v/>
      </c>
      <c r="M238" s="25">
        <f>IF(D238="","",COUNTIFS($D$2:D238,D238))</f>
        <v/>
      </c>
      <c r="N238" s="25">
        <f>IF(D238="","",D238&amp;"|"&amp;M238)</f>
        <v/>
      </c>
      <c r="O238" s="25">
        <f>IF(D238="","",COUNTIFS($D$2:D238,D238,$H$2:H238,"W"))</f>
        <v/>
      </c>
      <c r="P238" s="26">
        <f>IF(D238="","",IFERROR(O238/M238,""))</f>
        <v/>
      </c>
      <c r="Q238" s="25">
        <f>IF(G238="","",IF(G238=1,"1°","2°"))</f>
        <v/>
      </c>
      <c r="R238" s="25">
        <f>IF(B238="","",TEXT(B238,"mmm-yyyy"))</f>
        <v/>
      </c>
    </row>
    <row r="239" ht="15.75" customHeight="1" s="54">
      <c r="C239" s="50" t="n"/>
      <c r="D239" s="50" t="n"/>
      <c r="E239" s="50" t="n"/>
      <c r="F239" s="50" t="n"/>
      <c r="G239" s="50" t="n"/>
      <c r="H239" s="50" t="n"/>
      <c r="J239" s="50" t="n"/>
      <c r="L239" s="25">
        <f>IF(D239="","",IF(H239="W",1,IF(H239="L",0,"")))</f>
        <v/>
      </c>
      <c r="M239" s="25">
        <f>IF(D239="","",COUNTIFS($D$2:D239,D239))</f>
        <v/>
      </c>
      <c r="N239" s="25">
        <f>IF(D239="","",D239&amp;"|"&amp;M239)</f>
        <v/>
      </c>
      <c r="O239" s="25">
        <f>IF(D239="","",COUNTIFS($D$2:D239,D239,$H$2:H239,"W"))</f>
        <v/>
      </c>
      <c r="P239" s="26">
        <f>IF(D239="","",IFERROR(O239/M239,""))</f>
        <v/>
      </c>
      <c r="Q239" s="25">
        <f>IF(G239="","",IF(G239=1,"1°","2°"))</f>
        <v/>
      </c>
      <c r="R239" s="25">
        <f>IF(B239="","",TEXT(B239,"mmm-yyyy"))</f>
        <v/>
      </c>
    </row>
    <row r="240" ht="15.75" customHeight="1" s="54">
      <c r="C240" s="50" t="n"/>
      <c r="D240" s="50" t="n"/>
      <c r="E240" s="50" t="n"/>
      <c r="F240" s="50" t="n"/>
      <c r="G240" s="50" t="n"/>
      <c r="H240" s="50" t="n"/>
      <c r="J240" s="50" t="n"/>
      <c r="L240" s="25">
        <f>IF(D240="","",IF(H240="W",1,IF(H240="L",0,"")))</f>
        <v/>
      </c>
      <c r="M240" s="25">
        <f>IF(D240="","",COUNTIFS($D$2:D240,D240))</f>
        <v/>
      </c>
      <c r="N240" s="25">
        <f>IF(D240="","",D240&amp;"|"&amp;M240)</f>
        <v/>
      </c>
      <c r="O240" s="25">
        <f>IF(D240="","",COUNTIFS($D$2:D240,D240,$H$2:H240,"W"))</f>
        <v/>
      </c>
      <c r="P240" s="26">
        <f>IF(D240="","",IFERROR(O240/M240,""))</f>
        <v/>
      </c>
      <c r="Q240" s="25">
        <f>IF(G240="","",IF(G240=1,"1°","2°"))</f>
        <v/>
      </c>
      <c r="R240" s="25">
        <f>IF(B240="","",TEXT(B240,"mmm-yyyy"))</f>
        <v/>
      </c>
    </row>
    <row r="241" ht="15.75" customHeight="1" s="54">
      <c r="C241" s="50" t="n"/>
      <c r="D241" s="50" t="n"/>
      <c r="E241" s="50" t="n"/>
      <c r="F241" s="50" t="n"/>
      <c r="G241" s="50" t="n"/>
      <c r="H241" s="50" t="n"/>
      <c r="J241" s="50" t="n"/>
      <c r="L241" s="25">
        <f>IF(D241="","",IF(H241="W",1,IF(H241="L",0,"")))</f>
        <v/>
      </c>
      <c r="M241" s="25">
        <f>IF(D241="","",COUNTIFS($D$2:D241,D241))</f>
        <v/>
      </c>
      <c r="N241" s="25">
        <f>IF(D241="","",D241&amp;"|"&amp;M241)</f>
        <v/>
      </c>
      <c r="O241" s="25">
        <f>IF(D241="","",COUNTIFS($D$2:D241,D241,$H$2:H241,"W"))</f>
        <v/>
      </c>
      <c r="P241" s="26">
        <f>IF(D241="","",IFERROR(O241/M241,""))</f>
        <v/>
      </c>
      <c r="Q241" s="25">
        <f>IF(G241="","",IF(G241=1,"1°","2°"))</f>
        <v/>
      </c>
      <c r="R241" s="25">
        <f>IF(B241="","",TEXT(B241,"mmm-yyyy"))</f>
        <v/>
      </c>
    </row>
    <row r="242" ht="15.75" customHeight="1" s="54">
      <c r="C242" s="50" t="n"/>
      <c r="D242" s="50" t="n"/>
      <c r="E242" s="50" t="n"/>
      <c r="F242" s="50" t="n"/>
      <c r="G242" s="50" t="n"/>
      <c r="H242" s="50" t="n"/>
      <c r="J242" s="50" t="n"/>
      <c r="L242" s="25">
        <f>IF(D242="","",IF(H242="W",1,IF(H242="L",0,"")))</f>
        <v/>
      </c>
      <c r="M242" s="25">
        <f>IF(D242="","",COUNTIFS($D$2:D242,D242))</f>
        <v/>
      </c>
      <c r="N242" s="25">
        <f>IF(D242="","",D242&amp;"|"&amp;M242)</f>
        <v/>
      </c>
      <c r="O242" s="25">
        <f>IF(D242="","",COUNTIFS($D$2:D242,D242,$H$2:H242,"W"))</f>
        <v/>
      </c>
      <c r="P242" s="26">
        <f>IF(D242="","",IFERROR(O242/M242,""))</f>
        <v/>
      </c>
      <c r="Q242" s="25">
        <f>IF(G242="","",IF(G242=1,"1°","2°"))</f>
        <v/>
      </c>
      <c r="R242" s="25">
        <f>IF(B242="","",TEXT(B242,"mmm-yyyy"))</f>
        <v/>
      </c>
    </row>
    <row r="243" ht="15.75" customHeight="1" s="54">
      <c r="C243" s="50" t="n"/>
      <c r="D243" s="50" t="n"/>
      <c r="E243" s="50" t="n"/>
      <c r="F243" s="50" t="n"/>
      <c r="G243" s="50" t="n"/>
      <c r="H243" s="50" t="n"/>
      <c r="J243" s="50" t="n"/>
      <c r="L243" s="25">
        <f>IF(D243="","",IF(H243="W",1,IF(H243="L",0,"")))</f>
        <v/>
      </c>
      <c r="M243" s="25">
        <f>IF(D243="","",COUNTIFS($D$2:D243,D243))</f>
        <v/>
      </c>
      <c r="N243" s="25">
        <f>IF(D243="","",D243&amp;"|"&amp;M243)</f>
        <v/>
      </c>
      <c r="O243" s="25">
        <f>IF(D243="","",COUNTIFS($D$2:D243,D243,$H$2:H243,"W"))</f>
        <v/>
      </c>
      <c r="P243" s="26">
        <f>IF(D243="","",IFERROR(O243/M243,""))</f>
        <v/>
      </c>
      <c r="Q243" s="25">
        <f>IF(G243="","",IF(G243=1,"1°","2°"))</f>
        <v/>
      </c>
      <c r="R243" s="25">
        <f>IF(B243="","",TEXT(B243,"mmm-yyyy"))</f>
        <v/>
      </c>
    </row>
    <row r="244" ht="15.75" customHeight="1" s="54">
      <c r="C244" s="50" t="n"/>
      <c r="D244" s="50" t="n"/>
      <c r="E244" s="50" t="n"/>
      <c r="F244" s="50" t="n"/>
      <c r="G244" s="50" t="n"/>
      <c r="H244" s="50" t="n"/>
      <c r="J244" s="50" t="n"/>
      <c r="L244" s="25">
        <f>IF(D244="","",IF(H244="W",1,IF(H244="L",0,"")))</f>
        <v/>
      </c>
      <c r="M244" s="25">
        <f>IF(D244="","",COUNTIFS($D$2:D244,D244))</f>
        <v/>
      </c>
      <c r="N244" s="25">
        <f>IF(D244="","",D244&amp;"|"&amp;M244)</f>
        <v/>
      </c>
      <c r="O244" s="25">
        <f>IF(D244="","",COUNTIFS($D$2:D244,D244,$H$2:H244,"W"))</f>
        <v/>
      </c>
      <c r="P244" s="26">
        <f>IF(D244="","",IFERROR(O244/M244,""))</f>
        <v/>
      </c>
      <c r="Q244" s="25">
        <f>IF(G244="","",IF(G244=1,"1°","2°"))</f>
        <v/>
      </c>
      <c r="R244" s="25">
        <f>IF(B244="","",TEXT(B244,"mmm-yyyy"))</f>
        <v/>
      </c>
    </row>
    <row r="245" ht="15.75" customHeight="1" s="54">
      <c r="C245" s="50" t="n"/>
      <c r="D245" s="50" t="n"/>
      <c r="E245" s="50" t="n"/>
      <c r="F245" s="50" t="n"/>
      <c r="G245" s="50" t="n"/>
      <c r="H245" s="50" t="n"/>
      <c r="J245" s="50" t="n"/>
      <c r="L245" s="25">
        <f>IF(D245="","",IF(H245="W",1,IF(H245="L",0,"")))</f>
        <v/>
      </c>
      <c r="M245" s="25">
        <f>IF(D245="","",COUNTIFS($D$2:D245,D245))</f>
        <v/>
      </c>
      <c r="N245" s="25">
        <f>IF(D245="","",D245&amp;"|"&amp;M245)</f>
        <v/>
      </c>
      <c r="O245" s="25">
        <f>IF(D245="","",COUNTIFS($D$2:D245,D245,$H$2:H245,"W"))</f>
        <v/>
      </c>
      <c r="P245" s="26">
        <f>IF(D245="","",IFERROR(O245/M245,""))</f>
        <v/>
      </c>
      <c r="Q245" s="25">
        <f>IF(G245="","",IF(G245=1,"1°","2°"))</f>
        <v/>
      </c>
      <c r="R245" s="25">
        <f>IF(B245="","",TEXT(B245,"mmm-yyyy"))</f>
        <v/>
      </c>
    </row>
    <row r="246" ht="15.75" customHeight="1" s="54">
      <c r="C246" s="50" t="n"/>
      <c r="D246" s="50" t="n"/>
      <c r="E246" s="50" t="n"/>
      <c r="F246" s="50" t="n"/>
      <c r="G246" s="50" t="n"/>
      <c r="H246" s="50" t="n"/>
      <c r="J246" s="50" t="n"/>
      <c r="L246" s="25">
        <f>IF(D246="","",IF(H246="W",1,IF(H246="L",0,"")))</f>
        <v/>
      </c>
      <c r="M246" s="25">
        <f>IF(D246="","",COUNTIFS($D$2:D246,D246))</f>
        <v/>
      </c>
      <c r="N246" s="25">
        <f>IF(D246="","",D246&amp;"|"&amp;M246)</f>
        <v/>
      </c>
      <c r="O246" s="25">
        <f>IF(D246="","",COUNTIFS($D$2:D246,D246,$H$2:H246,"W"))</f>
        <v/>
      </c>
      <c r="P246" s="26">
        <f>IF(D246="","",IFERROR(O246/M246,""))</f>
        <v/>
      </c>
      <c r="Q246" s="25">
        <f>IF(G246="","",IF(G246=1,"1°","2°"))</f>
        <v/>
      </c>
      <c r="R246" s="25">
        <f>IF(B246="","",TEXT(B246,"mmm-yyyy"))</f>
        <v/>
      </c>
    </row>
    <row r="247" ht="15.75" customHeight="1" s="54">
      <c r="C247" s="50" t="n"/>
      <c r="D247" s="50" t="n"/>
      <c r="E247" s="50" t="n"/>
      <c r="F247" s="50" t="n"/>
      <c r="G247" s="50" t="n"/>
      <c r="H247" s="50" t="n"/>
      <c r="J247" s="50" t="n"/>
      <c r="L247" s="25">
        <f>IF(D247="","",IF(H247="W",1,IF(H247="L",0,"")))</f>
        <v/>
      </c>
      <c r="M247" s="25">
        <f>IF(D247="","",COUNTIFS($D$2:D247,D247))</f>
        <v/>
      </c>
      <c r="N247" s="25">
        <f>IF(D247="","",D247&amp;"|"&amp;M247)</f>
        <v/>
      </c>
      <c r="O247" s="25">
        <f>IF(D247="","",COUNTIFS($D$2:D247,D247,$H$2:H247,"W"))</f>
        <v/>
      </c>
      <c r="P247" s="26">
        <f>IF(D247="","",IFERROR(O247/M247,""))</f>
        <v/>
      </c>
      <c r="Q247" s="25">
        <f>IF(G247="","",IF(G247=1,"1°","2°"))</f>
        <v/>
      </c>
      <c r="R247" s="25">
        <f>IF(B247="","",TEXT(B247,"mmm-yyyy"))</f>
        <v/>
      </c>
    </row>
    <row r="248" ht="15.75" customHeight="1" s="54">
      <c r="C248" s="50" t="n"/>
      <c r="D248" s="50" t="n"/>
      <c r="E248" s="50" t="n"/>
      <c r="F248" s="50" t="n"/>
      <c r="G248" s="50" t="n"/>
      <c r="H248" s="50" t="n"/>
      <c r="J248" s="50" t="n"/>
      <c r="L248" s="25">
        <f>IF(D248="","",IF(H248="W",1,IF(H248="L",0,"")))</f>
        <v/>
      </c>
      <c r="M248" s="25">
        <f>IF(D248="","",COUNTIFS($D$2:D248,D248))</f>
        <v/>
      </c>
      <c r="N248" s="25">
        <f>IF(D248="","",D248&amp;"|"&amp;M248)</f>
        <v/>
      </c>
      <c r="O248" s="25">
        <f>IF(D248="","",COUNTIFS($D$2:D248,D248,$H$2:H248,"W"))</f>
        <v/>
      </c>
      <c r="P248" s="26">
        <f>IF(D248="","",IFERROR(O248/M248,""))</f>
        <v/>
      </c>
      <c r="Q248" s="25">
        <f>IF(G248="","",IF(G248=1,"1°","2°"))</f>
        <v/>
      </c>
      <c r="R248" s="25">
        <f>IF(B248="","",TEXT(B248,"mmm-yyyy"))</f>
        <v/>
      </c>
    </row>
    <row r="249" ht="15.75" customHeight="1" s="54">
      <c r="C249" s="50" t="n"/>
      <c r="D249" s="50" t="n"/>
      <c r="E249" s="50" t="n"/>
      <c r="F249" s="50" t="n"/>
      <c r="G249" s="50" t="n"/>
      <c r="H249" s="50" t="n"/>
      <c r="J249" s="50" t="n"/>
      <c r="L249" s="25">
        <f>IF(D249="","",IF(H249="W",1,IF(H249="L",0,"")))</f>
        <v/>
      </c>
      <c r="M249" s="25">
        <f>IF(D249="","",COUNTIFS($D$2:D249,D249))</f>
        <v/>
      </c>
      <c r="N249" s="25">
        <f>IF(D249="","",D249&amp;"|"&amp;M249)</f>
        <v/>
      </c>
      <c r="O249" s="25">
        <f>IF(D249="","",COUNTIFS($D$2:D249,D249,$H$2:H249,"W"))</f>
        <v/>
      </c>
      <c r="P249" s="26">
        <f>IF(D249="","",IFERROR(O249/M249,""))</f>
        <v/>
      </c>
      <c r="Q249" s="25">
        <f>IF(G249="","",IF(G249=1,"1°","2°"))</f>
        <v/>
      </c>
      <c r="R249" s="25">
        <f>IF(B249="","",TEXT(B249,"mmm-yyyy"))</f>
        <v/>
      </c>
    </row>
    <row r="250" ht="15.75" customHeight="1" s="54">
      <c r="C250" s="50" t="n"/>
      <c r="D250" s="50" t="n"/>
      <c r="E250" s="50" t="n"/>
      <c r="F250" s="50" t="n"/>
      <c r="G250" s="50" t="n"/>
      <c r="H250" s="50" t="n"/>
      <c r="J250" s="50" t="n"/>
      <c r="L250" s="25">
        <f>IF(D250="","",IF(H250="W",1,IF(H250="L",0,"")))</f>
        <v/>
      </c>
      <c r="M250" s="25">
        <f>IF(D250="","",COUNTIFS($D$2:D250,D250))</f>
        <v/>
      </c>
      <c r="N250" s="25">
        <f>IF(D250="","",D250&amp;"|"&amp;M250)</f>
        <v/>
      </c>
      <c r="O250" s="25">
        <f>IF(D250="","",COUNTIFS($D$2:D250,D250,$H$2:H250,"W"))</f>
        <v/>
      </c>
      <c r="P250" s="26">
        <f>IF(D250="","",IFERROR(O250/M250,""))</f>
        <v/>
      </c>
      <c r="Q250" s="25">
        <f>IF(G250="","",IF(G250=1,"1°","2°"))</f>
        <v/>
      </c>
      <c r="R250" s="25">
        <f>IF(B250="","",TEXT(B250,"mmm-yyyy"))</f>
        <v/>
      </c>
    </row>
    <row r="251" ht="15.75" customHeight="1" s="54">
      <c r="C251" s="50" t="n"/>
      <c r="D251" s="50" t="n"/>
      <c r="E251" s="50" t="n"/>
      <c r="F251" s="50" t="n"/>
      <c r="G251" s="50" t="n"/>
      <c r="H251" s="50" t="n"/>
      <c r="J251" s="50" t="n"/>
      <c r="L251" s="25">
        <f>IF(D251="","",IF(H251="W",1,IF(H251="L",0,"")))</f>
        <v/>
      </c>
      <c r="M251" s="25">
        <f>IF(D251="","",COUNTIFS($D$2:D251,D251))</f>
        <v/>
      </c>
      <c r="N251" s="25">
        <f>IF(D251="","",D251&amp;"|"&amp;M251)</f>
        <v/>
      </c>
      <c r="O251" s="25">
        <f>IF(D251="","",COUNTIFS($D$2:D251,D251,$H$2:H251,"W"))</f>
        <v/>
      </c>
      <c r="P251" s="26">
        <f>IF(D251="","",IFERROR(O251/M251,""))</f>
        <v/>
      </c>
      <c r="Q251" s="25">
        <f>IF(G251="","",IF(G251=1,"1°","2°"))</f>
        <v/>
      </c>
      <c r="R251" s="25">
        <f>IF(B251="","",TEXT(B251,"mmm-yyyy"))</f>
        <v/>
      </c>
    </row>
    <row r="252" ht="15.75" customHeight="1" s="54">
      <c r="C252" s="50" t="n"/>
      <c r="D252" s="50" t="n"/>
      <c r="E252" s="50" t="n"/>
      <c r="F252" s="50" t="n"/>
      <c r="G252" s="50" t="n"/>
      <c r="H252" s="50" t="n"/>
      <c r="J252" s="50" t="n"/>
      <c r="L252" s="25">
        <f>IF(D252="","",IF(H252="W",1,IF(H252="L",0,"")))</f>
        <v/>
      </c>
      <c r="M252" s="25">
        <f>IF(D252="","",COUNTIFS($D$2:D252,D252))</f>
        <v/>
      </c>
      <c r="N252" s="25">
        <f>IF(D252="","",D252&amp;"|"&amp;M252)</f>
        <v/>
      </c>
      <c r="O252" s="25">
        <f>IF(D252="","",COUNTIFS($D$2:D252,D252,$H$2:H252,"W"))</f>
        <v/>
      </c>
      <c r="P252" s="26">
        <f>IF(D252="","",IFERROR(O252/M252,""))</f>
        <v/>
      </c>
      <c r="Q252" s="25">
        <f>IF(G252="","",IF(G252=1,"1°","2°"))</f>
        <v/>
      </c>
      <c r="R252" s="25">
        <f>IF(B252="","",TEXT(B252,"mmm-yyyy"))</f>
        <v/>
      </c>
    </row>
    <row r="253" ht="15.75" customHeight="1" s="54">
      <c r="C253" s="50" t="n"/>
      <c r="D253" s="50" t="n"/>
      <c r="E253" s="50" t="n"/>
      <c r="F253" s="50" t="n"/>
      <c r="G253" s="50" t="n"/>
      <c r="H253" s="50" t="n"/>
      <c r="J253" s="50" t="n"/>
      <c r="L253" s="25">
        <f>IF(D253="","",IF(H253="W",1,IF(H253="L",0,"")))</f>
        <v/>
      </c>
      <c r="M253" s="25">
        <f>IF(D253="","",COUNTIFS($D$2:D253,D253))</f>
        <v/>
      </c>
      <c r="N253" s="25">
        <f>IF(D253="","",D253&amp;"|"&amp;M253)</f>
        <v/>
      </c>
      <c r="O253" s="25">
        <f>IF(D253="","",COUNTIFS($D$2:D253,D253,$H$2:H253,"W"))</f>
        <v/>
      </c>
      <c r="P253" s="26">
        <f>IF(D253="","",IFERROR(O253/M253,""))</f>
        <v/>
      </c>
      <c r="Q253" s="25">
        <f>IF(G253="","",IF(G253=1,"1°","2°"))</f>
        <v/>
      </c>
      <c r="R253" s="25">
        <f>IF(B253="","",TEXT(B253,"mmm-yyyy"))</f>
        <v/>
      </c>
    </row>
    <row r="254" ht="15.75" customHeight="1" s="54">
      <c r="C254" s="50" t="n"/>
      <c r="D254" s="50" t="n"/>
      <c r="E254" s="50" t="n"/>
      <c r="F254" s="50" t="n"/>
      <c r="G254" s="50" t="n"/>
      <c r="H254" s="50" t="n"/>
      <c r="J254" s="50" t="n"/>
      <c r="L254" s="25">
        <f>IF(D254="","",IF(H254="W",1,IF(H254="L",0,"")))</f>
        <v/>
      </c>
      <c r="M254" s="25">
        <f>IF(D254="","",COUNTIFS($D$2:D254,D254))</f>
        <v/>
      </c>
      <c r="N254" s="25">
        <f>IF(D254="","",D254&amp;"|"&amp;M254)</f>
        <v/>
      </c>
      <c r="O254" s="25">
        <f>IF(D254="","",COUNTIFS($D$2:D254,D254,$H$2:H254,"W"))</f>
        <v/>
      </c>
      <c r="P254" s="26">
        <f>IF(D254="","",IFERROR(O254/M254,""))</f>
        <v/>
      </c>
      <c r="Q254" s="25">
        <f>IF(G254="","",IF(G254=1,"1°","2°"))</f>
        <v/>
      </c>
      <c r="R254" s="25">
        <f>IF(B254="","",TEXT(B254,"mmm-yyyy"))</f>
        <v/>
      </c>
    </row>
    <row r="255" ht="15.75" customHeight="1" s="54">
      <c r="C255" s="50" t="n"/>
      <c r="D255" s="50" t="n"/>
      <c r="E255" s="50" t="n"/>
      <c r="F255" s="50" t="n"/>
      <c r="G255" s="50" t="n"/>
      <c r="H255" s="50" t="n"/>
      <c r="J255" s="50" t="n"/>
      <c r="L255" s="25">
        <f>IF(D255="","",IF(H255="W",1,IF(H255="L",0,"")))</f>
        <v/>
      </c>
      <c r="M255" s="25">
        <f>IF(D255="","",COUNTIFS($D$2:D255,D255))</f>
        <v/>
      </c>
      <c r="N255" s="25">
        <f>IF(D255="","",D255&amp;"|"&amp;M255)</f>
        <v/>
      </c>
      <c r="O255" s="25">
        <f>IF(D255="","",COUNTIFS($D$2:D255,D255,$H$2:H255,"W"))</f>
        <v/>
      </c>
      <c r="P255" s="26">
        <f>IF(D255="","",IFERROR(O255/M255,""))</f>
        <v/>
      </c>
      <c r="Q255" s="25">
        <f>IF(G255="","",IF(G255=1,"1°","2°"))</f>
        <v/>
      </c>
      <c r="R255" s="25">
        <f>IF(B255="","",TEXT(B255,"mmm-yyyy"))</f>
        <v/>
      </c>
    </row>
    <row r="256" ht="15.75" customHeight="1" s="54">
      <c r="C256" s="50" t="n"/>
      <c r="D256" s="50" t="n"/>
      <c r="E256" s="50" t="n"/>
      <c r="F256" s="50" t="n"/>
      <c r="G256" s="50" t="n"/>
      <c r="H256" s="50" t="n"/>
      <c r="J256" s="50" t="n"/>
      <c r="L256" s="25">
        <f>IF(D256="","",IF(H256="W",1,IF(H256="L",0,"")))</f>
        <v/>
      </c>
      <c r="M256" s="25">
        <f>IF(D256="","",COUNTIFS($D$2:D256,D256))</f>
        <v/>
      </c>
      <c r="N256" s="25">
        <f>IF(D256="","",D256&amp;"|"&amp;M256)</f>
        <v/>
      </c>
      <c r="O256" s="25">
        <f>IF(D256="","",COUNTIFS($D$2:D256,D256,$H$2:H256,"W"))</f>
        <v/>
      </c>
      <c r="P256" s="26">
        <f>IF(D256="","",IFERROR(O256/M256,""))</f>
        <v/>
      </c>
      <c r="Q256" s="25">
        <f>IF(G256="","",IF(G256=1,"1°","2°"))</f>
        <v/>
      </c>
      <c r="R256" s="25">
        <f>IF(B256="","",TEXT(B256,"mmm-yyyy"))</f>
        <v/>
      </c>
    </row>
    <row r="257" ht="15.75" customHeight="1" s="54">
      <c r="C257" s="50" t="n"/>
      <c r="D257" s="50" t="n"/>
      <c r="E257" s="50" t="n"/>
      <c r="F257" s="50" t="n"/>
      <c r="G257" s="50" t="n"/>
      <c r="H257" s="50" t="n"/>
      <c r="J257" s="50" t="n"/>
      <c r="L257" s="25">
        <f>IF(D257="","",IF(H257="W",1,IF(H257="L",0,"")))</f>
        <v/>
      </c>
      <c r="M257" s="25">
        <f>IF(D257="","",COUNTIFS($D$2:D257,D257))</f>
        <v/>
      </c>
      <c r="N257" s="25">
        <f>IF(D257="","",D257&amp;"|"&amp;M257)</f>
        <v/>
      </c>
      <c r="O257" s="25">
        <f>IF(D257="","",COUNTIFS($D$2:D257,D257,$H$2:H257,"W"))</f>
        <v/>
      </c>
      <c r="P257" s="26">
        <f>IF(D257="","",IFERROR(O257/M257,""))</f>
        <v/>
      </c>
      <c r="Q257" s="25">
        <f>IF(G257="","",IF(G257=1,"1°","2°"))</f>
        <v/>
      </c>
      <c r="R257" s="25">
        <f>IF(B257="","",TEXT(B257,"mmm-yyyy"))</f>
        <v/>
      </c>
    </row>
    <row r="258" ht="15.75" customHeight="1" s="54">
      <c r="C258" s="50" t="n"/>
      <c r="D258" s="50" t="n"/>
      <c r="E258" s="50" t="n"/>
      <c r="F258" s="50" t="n"/>
      <c r="G258" s="50" t="n"/>
      <c r="H258" s="50" t="n"/>
      <c r="J258" s="50" t="n"/>
      <c r="L258" s="25">
        <f>IF(D258="","",IF(H258="W",1,IF(H258="L",0,"")))</f>
        <v/>
      </c>
      <c r="M258" s="25">
        <f>IF(D258="","",COUNTIFS($D$2:D258,D258))</f>
        <v/>
      </c>
      <c r="N258" s="25">
        <f>IF(D258="","",D258&amp;"|"&amp;M258)</f>
        <v/>
      </c>
      <c r="O258" s="25">
        <f>IF(D258="","",COUNTIFS($D$2:D258,D258,$H$2:H258,"W"))</f>
        <v/>
      </c>
      <c r="P258" s="26">
        <f>IF(D258="","",IFERROR(O258/M258,""))</f>
        <v/>
      </c>
      <c r="Q258" s="25">
        <f>IF(G258="","",IF(G258=1,"1°","2°"))</f>
        <v/>
      </c>
      <c r="R258" s="25">
        <f>IF(B258="","",TEXT(B258,"mmm-yyyy"))</f>
        <v/>
      </c>
    </row>
    <row r="259" ht="15.75" customHeight="1" s="54">
      <c r="C259" s="50" t="n"/>
      <c r="D259" s="50" t="n"/>
      <c r="E259" s="50" t="n"/>
      <c r="F259" s="50" t="n"/>
      <c r="G259" s="50" t="n"/>
      <c r="H259" s="50" t="n"/>
      <c r="J259" s="50" t="n"/>
      <c r="L259" s="25">
        <f>IF(D259="","",IF(H259="W",1,IF(H259="L",0,"")))</f>
        <v/>
      </c>
      <c r="M259" s="25">
        <f>IF(D259="","",COUNTIFS($D$2:D259,D259))</f>
        <v/>
      </c>
      <c r="N259" s="25">
        <f>IF(D259="","",D259&amp;"|"&amp;M259)</f>
        <v/>
      </c>
      <c r="O259" s="25">
        <f>IF(D259="","",COUNTIFS($D$2:D259,D259,$H$2:H259,"W"))</f>
        <v/>
      </c>
      <c r="P259" s="26">
        <f>IF(D259="","",IFERROR(O259/M259,""))</f>
        <v/>
      </c>
      <c r="Q259" s="25">
        <f>IF(G259="","",IF(G259=1,"1°","2°"))</f>
        <v/>
      </c>
      <c r="R259" s="25">
        <f>IF(B259="","",TEXT(B259,"mmm-yyyy"))</f>
        <v/>
      </c>
    </row>
    <row r="260" ht="15.75" customHeight="1" s="54">
      <c r="C260" s="50" t="n"/>
      <c r="D260" s="50" t="n"/>
      <c r="E260" s="50" t="n"/>
      <c r="F260" s="50" t="n"/>
      <c r="G260" s="50" t="n"/>
      <c r="H260" s="50" t="n"/>
      <c r="J260" s="50" t="n"/>
      <c r="L260" s="25">
        <f>IF(D260="","",IF(H260="W",1,IF(H260="L",0,"")))</f>
        <v/>
      </c>
      <c r="M260" s="25">
        <f>IF(D260="","",COUNTIFS($D$2:D260,D260))</f>
        <v/>
      </c>
      <c r="N260" s="25">
        <f>IF(D260="","",D260&amp;"|"&amp;M260)</f>
        <v/>
      </c>
      <c r="O260" s="25">
        <f>IF(D260="","",COUNTIFS($D$2:D260,D260,$H$2:H260,"W"))</f>
        <v/>
      </c>
      <c r="P260" s="26">
        <f>IF(D260="","",IFERROR(O260/M260,""))</f>
        <v/>
      </c>
      <c r="Q260" s="25">
        <f>IF(G260="","",IF(G260=1,"1°","2°"))</f>
        <v/>
      </c>
      <c r="R260" s="25">
        <f>IF(B260="","",TEXT(B260,"mmm-yyyy"))</f>
        <v/>
      </c>
    </row>
    <row r="261" ht="15.75" customHeight="1" s="54">
      <c r="C261" s="50" t="n"/>
      <c r="D261" s="50" t="n"/>
      <c r="E261" s="50" t="n"/>
      <c r="F261" s="50" t="n"/>
      <c r="G261" s="50" t="n"/>
      <c r="H261" s="50" t="n"/>
      <c r="J261" s="50" t="n"/>
      <c r="L261" s="25">
        <f>IF(D261="","",IF(H261="W",1,IF(H261="L",0,"")))</f>
        <v/>
      </c>
      <c r="M261" s="25">
        <f>IF(D261="","",COUNTIFS($D$2:D261,D261))</f>
        <v/>
      </c>
      <c r="N261" s="25">
        <f>IF(D261="","",D261&amp;"|"&amp;M261)</f>
        <v/>
      </c>
      <c r="O261" s="25">
        <f>IF(D261="","",COUNTIFS($D$2:D261,D261,$H$2:H261,"W"))</f>
        <v/>
      </c>
      <c r="P261" s="26">
        <f>IF(D261="","",IFERROR(O261/M261,""))</f>
        <v/>
      </c>
      <c r="Q261" s="25">
        <f>IF(G261="","",IF(G261=1,"1°","2°"))</f>
        <v/>
      </c>
      <c r="R261" s="25">
        <f>IF(B261="","",TEXT(B261,"mmm-yyyy"))</f>
        <v/>
      </c>
    </row>
    <row r="262" ht="15.75" customHeight="1" s="54">
      <c r="C262" s="50" t="n"/>
      <c r="D262" s="50" t="n"/>
      <c r="E262" s="50" t="n"/>
      <c r="F262" s="50" t="n"/>
      <c r="G262" s="50" t="n"/>
      <c r="H262" s="50" t="n"/>
      <c r="J262" s="50" t="n"/>
      <c r="L262" s="25">
        <f>IF(D262="","",IF(H262="W",1,IF(H262="L",0,"")))</f>
        <v/>
      </c>
      <c r="M262" s="25">
        <f>IF(D262="","",COUNTIFS($D$2:D262,D262))</f>
        <v/>
      </c>
      <c r="N262" s="25">
        <f>IF(D262="","",D262&amp;"|"&amp;M262)</f>
        <v/>
      </c>
      <c r="O262" s="25">
        <f>IF(D262="","",COUNTIFS($D$2:D262,D262,$H$2:H262,"W"))</f>
        <v/>
      </c>
      <c r="P262" s="26">
        <f>IF(D262="","",IFERROR(O262/M262,""))</f>
        <v/>
      </c>
      <c r="Q262" s="25">
        <f>IF(G262="","",IF(G262=1,"1°","2°"))</f>
        <v/>
      </c>
      <c r="R262" s="25">
        <f>IF(B262="","",TEXT(B262,"mmm-yyyy"))</f>
        <v/>
      </c>
    </row>
    <row r="263" ht="15.75" customHeight="1" s="54">
      <c r="C263" s="50" t="n"/>
      <c r="D263" s="50" t="n"/>
      <c r="E263" s="50" t="n"/>
      <c r="F263" s="50" t="n"/>
      <c r="G263" s="50" t="n"/>
      <c r="H263" s="50" t="n"/>
      <c r="J263" s="50" t="n"/>
      <c r="L263" s="25">
        <f>IF(D263="","",IF(H263="W",1,IF(H263="L",0,"")))</f>
        <v/>
      </c>
      <c r="M263" s="25">
        <f>IF(D263="","",COUNTIFS($D$2:D263,D263))</f>
        <v/>
      </c>
      <c r="N263" s="25">
        <f>IF(D263="","",D263&amp;"|"&amp;M263)</f>
        <v/>
      </c>
      <c r="O263" s="25">
        <f>IF(D263="","",COUNTIFS($D$2:D263,D263,$H$2:H263,"W"))</f>
        <v/>
      </c>
      <c r="P263" s="26">
        <f>IF(D263="","",IFERROR(O263/M263,""))</f>
        <v/>
      </c>
      <c r="Q263" s="25">
        <f>IF(G263="","",IF(G263=1,"1°","2°"))</f>
        <v/>
      </c>
      <c r="R263" s="25">
        <f>IF(B263="","",TEXT(B263,"mmm-yyyy"))</f>
        <v/>
      </c>
    </row>
    <row r="264" ht="15.75" customHeight="1" s="54">
      <c r="C264" s="50" t="n"/>
      <c r="D264" s="50" t="n"/>
      <c r="E264" s="50" t="n"/>
      <c r="F264" s="50" t="n"/>
      <c r="G264" s="50" t="n"/>
      <c r="H264" s="50" t="n"/>
      <c r="J264" s="50" t="n"/>
      <c r="L264" s="25">
        <f>IF(D264="","",IF(H264="W",1,IF(H264="L",0,"")))</f>
        <v/>
      </c>
      <c r="M264" s="25">
        <f>IF(D264="","",COUNTIFS($D$2:D264,D264))</f>
        <v/>
      </c>
      <c r="N264" s="25">
        <f>IF(D264="","",D264&amp;"|"&amp;M264)</f>
        <v/>
      </c>
      <c r="O264" s="25">
        <f>IF(D264="","",COUNTIFS($D$2:D264,D264,$H$2:H264,"W"))</f>
        <v/>
      </c>
      <c r="P264" s="26">
        <f>IF(D264="","",IFERROR(O264/M264,""))</f>
        <v/>
      </c>
      <c r="Q264" s="25">
        <f>IF(G264="","",IF(G264=1,"1°","2°"))</f>
        <v/>
      </c>
      <c r="R264" s="25">
        <f>IF(B264="","",TEXT(B264,"mmm-yyyy"))</f>
        <v/>
      </c>
    </row>
    <row r="265" ht="15.75" customHeight="1" s="54">
      <c r="C265" s="50" t="n"/>
      <c r="D265" s="50" t="n"/>
      <c r="E265" s="50" t="n"/>
      <c r="F265" s="50" t="n"/>
      <c r="G265" s="50" t="n"/>
      <c r="H265" s="50" t="n"/>
      <c r="J265" s="50" t="n"/>
      <c r="L265" s="25">
        <f>IF(D265="","",IF(H265="W",1,IF(H265="L",0,"")))</f>
        <v/>
      </c>
      <c r="M265" s="25">
        <f>IF(D265="","",COUNTIFS($D$2:D265,D265))</f>
        <v/>
      </c>
      <c r="N265" s="25">
        <f>IF(D265="","",D265&amp;"|"&amp;M265)</f>
        <v/>
      </c>
      <c r="O265" s="25">
        <f>IF(D265="","",COUNTIFS($D$2:D265,D265,$H$2:H265,"W"))</f>
        <v/>
      </c>
      <c r="P265" s="26">
        <f>IF(D265="","",IFERROR(O265/M265,""))</f>
        <v/>
      </c>
      <c r="Q265" s="25">
        <f>IF(G265="","",IF(G265=1,"1°","2°"))</f>
        <v/>
      </c>
      <c r="R265" s="25">
        <f>IF(B265="","",TEXT(B265,"mmm-yyyy"))</f>
        <v/>
      </c>
    </row>
    <row r="266" ht="15.75" customHeight="1" s="54">
      <c r="C266" s="50" t="n"/>
      <c r="D266" s="50" t="n"/>
      <c r="E266" s="50" t="n"/>
      <c r="F266" s="50" t="n"/>
      <c r="G266" s="50" t="n"/>
      <c r="H266" s="50" t="n"/>
      <c r="J266" s="50" t="n"/>
      <c r="L266" s="25">
        <f>IF(D266="","",IF(H266="W",1,IF(H266="L",0,"")))</f>
        <v/>
      </c>
      <c r="M266" s="25">
        <f>IF(D266="","",COUNTIFS($D$2:D266,D266))</f>
        <v/>
      </c>
      <c r="N266" s="25">
        <f>IF(D266="","",D266&amp;"|"&amp;M266)</f>
        <v/>
      </c>
      <c r="O266" s="25">
        <f>IF(D266="","",COUNTIFS($D$2:D266,D266,$H$2:H266,"W"))</f>
        <v/>
      </c>
      <c r="P266" s="26">
        <f>IF(D266="","",IFERROR(O266/M266,""))</f>
        <v/>
      </c>
      <c r="Q266" s="25">
        <f>IF(G266="","",IF(G266=1,"1°","2°"))</f>
        <v/>
      </c>
      <c r="R266" s="25">
        <f>IF(B266="","",TEXT(B266,"mmm-yyyy"))</f>
        <v/>
      </c>
    </row>
    <row r="267" ht="15.75" customHeight="1" s="54">
      <c r="C267" s="50" t="n"/>
      <c r="D267" s="50" t="n"/>
      <c r="E267" s="50" t="n"/>
      <c r="F267" s="50" t="n"/>
      <c r="G267" s="50" t="n"/>
      <c r="H267" s="50" t="n"/>
      <c r="J267" s="50" t="n"/>
      <c r="L267" s="25">
        <f>IF(D267="","",IF(H267="W",1,IF(H267="L",0,"")))</f>
        <v/>
      </c>
      <c r="M267" s="25">
        <f>IF(D267="","",COUNTIFS($D$2:D267,D267))</f>
        <v/>
      </c>
      <c r="N267" s="25">
        <f>IF(D267="","",D267&amp;"|"&amp;M267)</f>
        <v/>
      </c>
      <c r="O267" s="25">
        <f>IF(D267="","",COUNTIFS($D$2:D267,D267,$H$2:H267,"W"))</f>
        <v/>
      </c>
      <c r="P267" s="26">
        <f>IF(D267="","",IFERROR(O267/M267,""))</f>
        <v/>
      </c>
      <c r="Q267" s="25">
        <f>IF(G267="","",IF(G267=1,"1°","2°"))</f>
        <v/>
      </c>
      <c r="R267" s="25">
        <f>IF(B267="","",TEXT(B267,"mmm-yyyy"))</f>
        <v/>
      </c>
    </row>
    <row r="268" ht="15.75" customHeight="1" s="54">
      <c r="C268" s="50" t="n"/>
      <c r="D268" s="50" t="n"/>
      <c r="E268" s="50" t="n"/>
      <c r="F268" s="50" t="n"/>
      <c r="G268" s="50" t="n"/>
      <c r="H268" s="50" t="n"/>
      <c r="J268" s="50" t="n"/>
      <c r="L268" s="25">
        <f>IF(D268="","",IF(H268="W",1,IF(H268="L",0,"")))</f>
        <v/>
      </c>
      <c r="M268" s="25">
        <f>IF(D268="","",COUNTIFS($D$2:D268,D268))</f>
        <v/>
      </c>
      <c r="N268" s="25">
        <f>IF(D268="","",D268&amp;"|"&amp;M268)</f>
        <v/>
      </c>
      <c r="O268" s="25">
        <f>IF(D268="","",COUNTIFS($D$2:D268,D268,$H$2:H268,"W"))</f>
        <v/>
      </c>
      <c r="P268" s="26">
        <f>IF(D268="","",IFERROR(O268/M268,""))</f>
        <v/>
      </c>
      <c r="Q268" s="25">
        <f>IF(G268="","",IF(G268=1,"1°","2°"))</f>
        <v/>
      </c>
      <c r="R268" s="25">
        <f>IF(B268="","",TEXT(B268,"mmm-yyyy"))</f>
        <v/>
      </c>
    </row>
    <row r="269" ht="15.75" customHeight="1" s="54">
      <c r="C269" s="50" t="n"/>
      <c r="D269" s="50" t="n"/>
      <c r="E269" s="50" t="n"/>
      <c r="F269" s="50" t="n"/>
      <c r="G269" s="50" t="n"/>
      <c r="H269" s="50" t="n"/>
      <c r="J269" s="50" t="n"/>
      <c r="L269" s="25">
        <f>IF(D269="","",IF(H269="W",1,IF(H269="L",0,"")))</f>
        <v/>
      </c>
      <c r="M269" s="25">
        <f>IF(D269="","",COUNTIFS($D$2:D269,D269))</f>
        <v/>
      </c>
      <c r="N269" s="25">
        <f>IF(D269="","",D269&amp;"|"&amp;M269)</f>
        <v/>
      </c>
      <c r="O269" s="25">
        <f>IF(D269="","",COUNTIFS($D$2:D269,D269,$H$2:H269,"W"))</f>
        <v/>
      </c>
      <c r="P269" s="26">
        <f>IF(D269="","",IFERROR(O269/M269,""))</f>
        <v/>
      </c>
      <c r="Q269" s="25">
        <f>IF(G269="","",IF(G269=1,"1°","2°"))</f>
        <v/>
      </c>
      <c r="R269" s="25">
        <f>IF(B269="","",TEXT(B269,"mmm-yyyy"))</f>
        <v/>
      </c>
    </row>
    <row r="270" ht="15.75" customHeight="1" s="54">
      <c r="C270" s="50" t="n"/>
      <c r="D270" s="50" t="n"/>
      <c r="E270" s="50" t="n"/>
      <c r="F270" s="50" t="n"/>
      <c r="G270" s="50" t="n"/>
      <c r="H270" s="50" t="n"/>
      <c r="J270" s="50" t="n"/>
      <c r="L270" s="25">
        <f>IF(D270="","",IF(H270="W",1,IF(H270="L",0,"")))</f>
        <v/>
      </c>
      <c r="M270" s="25">
        <f>IF(D270="","",COUNTIFS($D$2:D270,D270))</f>
        <v/>
      </c>
      <c r="N270" s="25">
        <f>IF(D270="","",D270&amp;"|"&amp;M270)</f>
        <v/>
      </c>
      <c r="O270" s="25">
        <f>IF(D270="","",COUNTIFS($D$2:D270,D270,$H$2:H270,"W"))</f>
        <v/>
      </c>
      <c r="P270" s="26">
        <f>IF(D270="","",IFERROR(O270/M270,""))</f>
        <v/>
      </c>
      <c r="Q270" s="25">
        <f>IF(G270="","",IF(G270=1,"1°","2°"))</f>
        <v/>
      </c>
      <c r="R270" s="25">
        <f>IF(B270="","",TEXT(B270,"mmm-yyyy"))</f>
        <v/>
      </c>
    </row>
    <row r="271" ht="15.75" customHeight="1" s="54">
      <c r="C271" s="50" t="n"/>
      <c r="D271" s="50" t="n"/>
      <c r="E271" s="50" t="n"/>
      <c r="F271" s="50" t="n"/>
      <c r="G271" s="50" t="n"/>
      <c r="H271" s="50" t="n"/>
      <c r="J271" s="50" t="n"/>
      <c r="L271" s="25">
        <f>IF(D271="","",IF(H271="W",1,IF(H271="L",0,"")))</f>
        <v/>
      </c>
      <c r="M271" s="25">
        <f>IF(D271="","",COUNTIFS($D$2:D271,D271))</f>
        <v/>
      </c>
      <c r="N271" s="25">
        <f>IF(D271="","",D271&amp;"|"&amp;M271)</f>
        <v/>
      </c>
      <c r="O271" s="25">
        <f>IF(D271="","",COUNTIFS($D$2:D271,D271,$H$2:H271,"W"))</f>
        <v/>
      </c>
      <c r="P271" s="26">
        <f>IF(D271="","",IFERROR(O271/M271,""))</f>
        <v/>
      </c>
      <c r="Q271" s="25">
        <f>IF(G271="","",IF(G271=1,"1°","2°"))</f>
        <v/>
      </c>
      <c r="R271" s="25">
        <f>IF(B271="","",TEXT(B271,"mmm-yyyy"))</f>
        <v/>
      </c>
    </row>
    <row r="272" ht="15.75" customHeight="1" s="54">
      <c r="C272" s="50" t="n"/>
      <c r="D272" s="50" t="n"/>
      <c r="E272" s="50" t="n"/>
      <c r="F272" s="50" t="n"/>
      <c r="G272" s="50" t="n"/>
      <c r="H272" s="50" t="n"/>
      <c r="J272" s="50" t="n"/>
      <c r="L272" s="25">
        <f>IF(D272="","",IF(H272="W",1,IF(H272="L",0,"")))</f>
        <v/>
      </c>
      <c r="M272" s="25">
        <f>IF(D272="","",COUNTIFS($D$2:D272,D272))</f>
        <v/>
      </c>
      <c r="N272" s="25">
        <f>IF(D272="","",D272&amp;"|"&amp;M272)</f>
        <v/>
      </c>
      <c r="O272" s="25">
        <f>IF(D272="","",COUNTIFS($D$2:D272,D272,$H$2:H272,"W"))</f>
        <v/>
      </c>
      <c r="P272" s="26">
        <f>IF(D272="","",IFERROR(O272/M272,""))</f>
        <v/>
      </c>
      <c r="Q272" s="25">
        <f>IF(G272="","",IF(G272=1,"1°","2°"))</f>
        <v/>
      </c>
      <c r="R272" s="25">
        <f>IF(B272="","",TEXT(B272,"mmm-yyyy"))</f>
        <v/>
      </c>
    </row>
    <row r="273" ht="15.75" customHeight="1" s="54">
      <c r="C273" s="50" t="n"/>
      <c r="D273" s="50" t="n"/>
      <c r="E273" s="50" t="n"/>
      <c r="F273" s="50" t="n"/>
      <c r="G273" s="50" t="n"/>
      <c r="H273" s="50" t="n"/>
      <c r="J273" s="50" t="n"/>
      <c r="L273" s="25">
        <f>IF(D273="","",IF(H273="W",1,IF(H273="L",0,"")))</f>
        <v/>
      </c>
      <c r="M273" s="25">
        <f>IF(D273="","",COUNTIFS($D$2:D273,D273))</f>
        <v/>
      </c>
      <c r="N273" s="25">
        <f>IF(D273="","",D273&amp;"|"&amp;M273)</f>
        <v/>
      </c>
      <c r="O273" s="25">
        <f>IF(D273="","",COUNTIFS($D$2:D273,D273,$H$2:H273,"W"))</f>
        <v/>
      </c>
      <c r="P273" s="26">
        <f>IF(D273="","",IFERROR(O273/M273,""))</f>
        <v/>
      </c>
      <c r="Q273" s="25">
        <f>IF(G273="","",IF(G273=1,"1°","2°"))</f>
        <v/>
      </c>
      <c r="R273" s="25">
        <f>IF(B273="","",TEXT(B273,"mmm-yyyy"))</f>
        <v/>
      </c>
    </row>
    <row r="274" ht="15.75" customHeight="1" s="54">
      <c r="C274" s="50" t="n"/>
      <c r="D274" s="50" t="n"/>
      <c r="E274" s="50" t="n"/>
      <c r="F274" s="50" t="n"/>
      <c r="G274" s="50" t="n"/>
      <c r="H274" s="50" t="n"/>
      <c r="J274" s="50" t="n"/>
      <c r="L274" s="25">
        <f>IF(D274="","",IF(H274="W",1,IF(H274="L",0,"")))</f>
        <v/>
      </c>
      <c r="M274" s="25">
        <f>IF(D274="","",COUNTIFS($D$2:D274,D274))</f>
        <v/>
      </c>
      <c r="N274" s="25">
        <f>IF(D274="","",D274&amp;"|"&amp;M274)</f>
        <v/>
      </c>
      <c r="O274" s="25">
        <f>IF(D274="","",COUNTIFS($D$2:D274,D274,$H$2:H274,"W"))</f>
        <v/>
      </c>
      <c r="P274" s="26">
        <f>IF(D274="","",IFERROR(O274/M274,""))</f>
        <v/>
      </c>
      <c r="Q274" s="25">
        <f>IF(G274="","",IF(G274=1,"1°","2°"))</f>
        <v/>
      </c>
      <c r="R274" s="25">
        <f>IF(B274="","",TEXT(B274,"mmm-yyyy"))</f>
        <v/>
      </c>
    </row>
    <row r="275" ht="15.75" customHeight="1" s="54">
      <c r="C275" s="50" t="n"/>
      <c r="D275" s="50" t="n"/>
      <c r="E275" s="50" t="n"/>
      <c r="F275" s="50" t="n"/>
      <c r="G275" s="50" t="n"/>
      <c r="H275" s="50" t="n"/>
      <c r="J275" s="50" t="n"/>
      <c r="L275" s="25">
        <f>IF(D275="","",IF(H275="W",1,IF(H275="L",0,"")))</f>
        <v/>
      </c>
      <c r="M275" s="25">
        <f>IF(D275="","",COUNTIFS($D$2:D275,D275))</f>
        <v/>
      </c>
      <c r="N275" s="25">
        <f>IF(D275="","",D275&amp;"|"&amp;M275)</f>
        <v/>
      </c>
      <c r="O275" s="25">
        <f>IF(D275="","",COUNTIFS($D$2:D275,D275,$H$2:H275,"W"))</f>
        <v/>
      </c>
      <c r="P275" s="26">
        <f>IF(D275="","",IFERROR(O275/M275,""))</f>
        <v/>
      </c>
      <c r="Q275" s="25">
        <f>IF(G275="","",IF(G275=1,"1°","2°"))</f>
        <v/>
      </c>
      <c r="R275" s="25">
        <f>IF(B275="","",TEXT(B275,"mmm-yyyy"))</f>
        <v/>
      </c>
    </row>
    <row r="276" ht="15.75" customHeight="1" s="54">
      <c r="C276" s="50" t="n"/>
      <c r="D276" s="50" t="n"/>
      <c r="E276" s="50" t="n"/>
      <c r="F276" s="50" t="n"/>
      <c r="G276" s="50" t="n"/>
      <c r="H276" s="50" t="n"/>
      <c r="J276" s="50" t="n"/>
      <c r="L276" s="25">
        <f>IF(D276="","",IF(H276="W",1,IF(H276="L",0,"")))</f>
        <v/>
      </c>
      <c r="M276" s="25">
        <f>IF(D276="","",COUNTIFS($D$2:D276,D276))</f>
        <v/>
      </c>
      <c r="N276" s="25">
        <f>IF(D276="","",D276&amp;"|"&amp;M276)</f>
        <v/>
      </c>
      <c r="O276" s="25">
        <f>IF(D276="","",COUNTIFS($D$2:D276,D276,$H$2:H276,"W"))</f>
        <v/>
      </c>
      <c r="P276" s="26">
        <f>IF(D276="","",IFERROR(O276/M276,""))</f>
        <v/>
      </c>
      <c r="Q276" s="25">
        <f>IF(G276="","",IF(G276=1,"1°","2°"))</f>
        <v/>
      </c>
      <c r="R276" s="25">
        <f>IF(B276="","",TEXT(B276,"mmm-yyyy"))</f>
        <v/>
      </c>
    </row>
    <row r="277" ht="15.75" customHeight="1" s="54">
      <c r="C277" s="50" t="n"/>
      <c r="D277" s="50" t="n"/>
      <c r="E277" s="50" t="n"/>
      <c r="F277" s="50" t="n"/>
      <c r="G277" s="50" t="n"/>
      <c r="H277" s="50" t="n"/>
      <c r="J277" s="50" t="n"/>
      <c r="L277" s="25">
        <f>IF(D277="","",IF(H277="W",1,IF(H277="L",0,"")))</f>
        <v/>
      </c>
      <c r="M277" s="25">
        <f>IF(D277="","",COUNTIFS($D$2:D277,D277))</f>
        <v/>
      </c>
      <c r="N277" s="25">
        <f>IF(D277="","",D277&amp;"|"&amp;M277)</f>
        <v/>
      </c>
      <c r="O277" s="25">
        <f>IF(D277="","",COUNTIFS($D$2:D277,D277,$H$2:H277,"W"))</f>
        <v/>
      </c>
      <c r="P277" s="26">
        <f>IF(D277="","",IFERROR(O277/M277,""))</f>
        <v/>
      </c>
      <c r="Q277" s="25">
        <f>IF(G277="","",IF(G277=1,"1°","2°"))</f>
        <v/>
      </c>
      <c r="R277" s="25">
        <f>IF(B277="","",TEXT(B277,"mmm-yyyy"))</f>
        <v/>
      </c>
    </row>
    <row r="278" ht="15.75" customHeight="1" s="54">
      <c r="C278" s="50" t="n"/>
      <c r="D278" s="50" t="n"/>
      <c r="E278" s="50" t="n"/>
      <c r="F278" s="50" t="n"/>
      <c r="G278" s="50" t="n"/>
      <c r="H278" s="50" t="n"/>
      <c r="J278" s="50" t="n"/>
      <c r="L278" s="25">
        <f>IF(D278="","",IF(H278="W",1,IF(H278="L",0,"")))</f>
        <v/>
      </c>
      <c r="M278" s="25">
        <f>IF(D278="","",COUNTIFS($D$2:D278,D278))</f>
        <v/>
      </c>
      <c r="N278" s="25">
        <f>IF(D278="","",D278&amp;"|"&amp;M278)</f>
        <v/>
      </c>
      <c r="O278" s="25">
        <f>IF(D278="","",COUNTIFS($D$2:D278,D278,$H$2:H278,"W"))</f>
        <v/>
      </c>
      <c r="P278" s="26">
        <f>IF(D278="","",IFERROR(O278/M278,""))</f>
        <v/>
      </c>
      <c r="Q278" s="25">
        <f>IF(G278="","",IF(G278=1,"1°","2°"))</f>
        <v/>
      </c>
      <c r="R278" s="25">
        <f>IF(B278="","",TEXT(B278,"mmm-yyyy"))</f>
        <v/>
      </c>
    </row>
    <row r="279" ht="15.75" customHeight="1" s="54">
      <c r="C279" s="50" t="n"/>
      <c r="D279" s="50" t="n"/>
      <c r="E279" s="50" t="n"/>
      <c r="F279" s="50" t="n"/>
      <c r="G279" s="50" t="n"/>
      <c r="H279" s="50" t="n"/>
      <c r="J279" s="50" t="n"/>
      <c r="L279" s="25">
        <f>IF(D279="","",IF(H279="W",1,IF(H279="L",0,"")))</f>
        <v/>
      </c>
      <c r="M279" s="25">
        <f>IF(D279="","",COUNTIFS($D$2:D279,D279))</f>
        <v/>
      </c>
      <c r="N279" s="25">
        <f>IF(D279="","",D279&amp;"|"&amp;M279)</f>
        <v/>
      </c>
      <c r="O279" s="25">
        <f>IF(D279="","",COUNTIFS($D$2:D279,D279,$H$2:H279,"W"))</f>
        <v/>
      </c>
      <c r="P279" s="26">
        <f>IF(D279="","",IFERROR(O279/M279,""))</f>
        <v/>
      </c>
      <c r="Q279" s="25">
        <f>IF(G279="","",IF(G279=1,"1°","2°"))</f>
        <v/>
      </c>
      <c r="R279" s="25">
        <f>IF(B279="","",TEXT(B279,"mmm-yyyy"))</f>
        <v/>
      </c>
    </row>
    <row r="280" ht="15.75" customHeight="1" s="54">
      <c r="C280" s="50" t="n"/>
      <c r="D280" s="50" t="n"/>
      <c r="E280" s="50" t="n"/>
      <c r="F280" s="50" t="n"/>
      <c r="G280" s="50" t="n"/>
      <c r="H280" s="50" t="n"/>
      <c r="J280" s="50" t="n"/>
      <c r="L280" s="25">
        <f>IF(D280="","",IF(H280="W",1,IF(H280="L",0,"")))</f>
        <v/>
      </c>
      <c r="M280" s="25">
        <f>IF(D280="","",COUNTIFS($D$2:D280,D280))</f>
        <v/>
      </c>
      <c r="N280" s="25">
        <f>IF(D280="","",D280&amp;"|"&amp;M280)</f>
        <v/>
      </c>
      <c r="O280" s="25">
        <f>IF(D280="","",COUNTIFS($D$2:D280,D280,$H$2:H280,"W"))</f>
        <v/>
      </c>
      <c r="P280" s="26">
        <f>IF(D280="","",IFERROR(O280/M280,""))</f>
        <v/>
      </c>
      <c r="Q280" s="25">
        <f>IF(G280="","",IF(G280=1,"1°","2°"))</f>
        <v/>
      </c>
      <c r="R280" s="25">
        <f>IF(B280="","",TEXT(B280,"mmm-yyyy"))</f>
        <v/>
      </c>
    </row>
    <row r="281" ht="15.75" customHeight="1" s="54">
      <c r="C281" s="50" t="n"/>
      <c r="D281" s="50" t="n"/>
      <c r="E281" s="50" t="n"/>
      <c r="F281" s="50" t="n"/>
      <c r="G281" s="50" t="n"/>
      <c r="H281" s="50" t="n"/>
      <c r="J281" s="50" t="n"/>
      <c r="L281" s="25">
        <f>IF(D281="","",IF(H281="W",1,IF(H281="L",0,"")))</f>
        <v/>
      </c>
      <c r="M281" s="25">
        <f>IF(D281="","",COUNTIFS($D$2:D281,D281))</f>
        <v/>
      </c>
      <c r="N281" s="25">
        <f>IF(D281="","",D281&amp;"|"&amp;M281)</f>
        <v/>
      </c>
      <c r="O281" s="25">
        <f>IF(D281="","",COUNTIFS($D$2:D281,D281,$H$2:H281,"W"))</f>
        <v/>
      </c>
      <c r="P281" s="26">
        <f>IF(D281="","",IFERROR(O281/M281,""))</f>
        <v/>
      </c>
      <c r="Q281" s="25">
        <f>IF(G281="","",IF(G281=1,"1°","2°"))</f>
        <v/>
      </c>
      <c r="R281" s="25">
        <f>IF(B281="","",TEXT(B281,"mmm-yyyy"))</f>
        <v/>
      </c>
    </row>
    <row r="282" ht="15.75" customHeight="1" s="54">
      <c r="C282" s="50" t="n"/>
      <c r="D282" s="50" t="n"/>
      <c r="E282" s="50" t="n"/>
      <c r="F282" s="50" t="n"/>
      <c r="G282" s="50" t="n"/>
      <c r="H282" s="50" t="n"/>
      <c r="J282" s="50" t="n"/>
      <c r="L282" s="25">
        <f>IF(D282="","",IF(H282="W",1,IF(H282="L",0,"")))</f>
        <v/>
      </c>
      <c r="M282" s="25">
        <f>IF(D282="","",COUNTIFS($D$2:D282,D282))</f>
        <v/>
      </c>
      <c r="N282" s="25">
        <f>IF(D282="","",D282&amp;"|"&amp;M282)</f>
        <v/>
      </c>
      <c r="O282" s="25">
        <f>IF(D282="","",COUNTIFS($D$2:D282,D282,$H$2:H282,"W"))</f>
        <v/>
      </c>
      <c r="P282" s="26">
        <f>IF(D282="","",IFERROR(O282/M282,""))</f>
        <v/>
      </c>
      <c r="Q282" s="25">
        <f>IF(G282="","",IF(G282=1,"1°","2°"))</f>
        <v/>
      </c>
      <c r="R282" s="25">
        <f>IF(B282="","",TEXT(B282,"mmm-yyyy"))</f>
        <v/>
      </c>
    </row>
    <row r="283" ht="15.75" customHeight="1" s="54">
      <c r="C283" s="50" t="n"/>
      <c r="D283" s="50" t="n"/>
      <c r="E283" s="50" t="n"/>
      <c r="F283" s="50" t="n"/>
      <c r="G283" s="50" t="n"/>
      <c r="H283" s="50" t="n"/>
      <c r="J283" s="50" t="n"/>
      <c r="L283" s="25">
        <f>IF(D283="","",IF(H283="W",1,IF(H283="L",0,"")))</f>
        <v/>
      </c>
      <c r="M283" s="25">
        <f>IF(D283="","",COUNTIFS($D$2:D283,D283))</f>
        <v/>
      </c>
      <c r="N283" s="25">
        <f>IF(D283="","",D283&amp;"|"&amp;M283)</f>
        <v/>
      </c>
      <c r="O283" s="25">
        <f>IF(D283="","",COUNTIFS($D$2:D283,D283,$H$2:H283,"W"))</f>
        <v/>
      </c>
      <c r="P283" s="26">
        <f>IF(D283="","",IFERROR(O283/M283,""))</f>
        <v/>
      </c>
      <c r="Q283" s="25">
        <f>IF(G283="","",IF(G283=1,"1°","2°"))</f>
        <v/>
      </c>
      <c r="R283" s="25">
        <f>IF(B283="","",TEXT(B283,"mmm-yyyy"))</f>
        <v/>
      </c>
    </row>
    <row r="284" ht="15.75" customHeight="1" s="54">
      <c r="C284" s="50" t="n"/>
      <c r="D284" s="50" t="n"/>
      <c r="E284" s="50" t="n"/>
      <c r="F284" s="50" t="n"/>
      <c r="G284" s="50" t="n"/>
      <c r="H284" s="50" t="n"/>
      <c r="J284" s="50" t="n"/>
      <c r="L284" s="25">
        <f>IF(D284="","",IF(H284="W",1,IF(H284="L",0,"")))</f>
        <v/>
      </c>
      <c r="M284" s="25">
        <f>IF(D284="","",COUNTIFS($D$2:D284,D284))</f>
        <v/>
      </c>
      <c r="N284" s="25">
        <f>IF(D284="","",D284&amp;"|"&amp;M284)</f>
        <v/>
      </c>
      <c r="O284" s="25">
        <f>IF(D284="","",COUNTIFS($D$2:D284,D284,$H$2:H284,"W"))</f>
        <v/>
      </c>
      <c r="P284" s="26">
        <f>IF(D284="","",IFERROR(O284/M284,""))</f>
        <v/>
      </c>
      <c r="Q284" s="25">
        <f>IF(G284="","",IF(G284=1,"1°","2°"))</f>
        <v/>
      </c>
      <c r="R284" s="25">
        <f>IF(B284="","",TEXT(B284,"mmm-yyyy"))</f>
        <v/>
      </c>
    </row>
    <row r="285" ht="15.75" customHeight="1" s="54">
      <c r="C285" s="50" t="n"/>
      <c r="D285" s="50" t="n"/>
      <c r="E285" s="50" t="n"/>
      <c r="F285" s="50" t="n"/>
      <c r="G285" s="50" t="n"/>
      <c r="H285" s="50" t="n"/>
      <c r="J285" s="50" t="n"/>
      <c r="L285" s="25">
        <f>IF(D285="","",IF(H285="W",1,IF(H285="L",0,"")))</f>
        <v/>
      </c>
      <c r="M285" s="25">
        <f>IF(D285="","",COUNTIFS($D$2:D285,D285))</f>
        <v/>
      </c>
      <c r="N285" s="25">
        <f>IF(D285="","",D285&amp;"|"&amp;M285)</f>
        <v/>
      </c>
      <c r="O285" s="25">
        <f>IF(D285="","",COUNTIFS($D$2:D285,D285,$H$2:H285,"W"))</f>
        <v/>
      </c>
      <c r="P285" s="26">
        <f>IF(D285="","",IFERROR(O285/M285,""))</f>
        <v/>
      </c>
      <c r="Q285" s="25">
        <f>IF(G285="","",IF(G285=1,"1°","2°"))</f>
        <v/>
      </c>
      <c r="R285" s="25">
        <f>IF(B285="","",TEXT(B285,"mmm-yyyy"))</f>
        <v/>
      </c>
    </row>
    <row r="286" ht="15.75" customHeight="1" s="54">
      <c r="C286" s="50" t="n"/>
      <c r="D286" s="50" t="n"/>
      <c r="E286" s="50" t="n"/>
      <c r="F286" s="50" t="n"/>
      <c r="G286" s="50" t="n"/>
      <c r="H286" s="50" t="n"/>
      <c r="J286" s="50" t="n"/>
      <c r="L286" s="25">
        <f>IF(D286="","",IF(H286="W",1,IF(H286="L",0,"")))</f>
        <v/>
      </c>
      <c r="M286" s="25">
        <f>IF(D286="","",COUNTIFS($D$2:D286,D286))</f>
        <v/>
      </c>
      <c r="N286" s="25">
        <f>IF(D286="","",D286&amp;"|"&amp;M286)</f>
        <v/>
      </c>
      <c r="O286" s="25">
        <f>IF(D286="","",COUNTIFS($D$2:D286,D286,$H$2:H286,"W"))</f>
        <v/>
      </c>
      <c r="P286" s="26">
        <f>IF(D286="","",IFERROR(O286/M286,""))</f>
        <v/>
      </c>
      <c r="Q286" s="25">
        <f>IF(G286="","",IF(G286=1,"1°","2°"))</f>
        <v/>
      </c>
      <c r="R286" s="25">
        <f>IF(B286="","",TEXT(B286,"mmm-yyyy"))</f>
        <v/>
      </c>
    </row>
    <row r="287" ht="15.75" customHeight="1" s="54">
      <c r="C287" s="50" t="n"/>
      <c r="D287" s="50" t="n"/>
      <c r="E287" s="50" t="n"/>
      <c r="F287" s="50" t="n"/>
      <c r="G287" s="50" t="n"/>
      <c r="H287" s="50" t="n"/>
      <c r="J287" s="50" t="n"/>
      <c r="L287" s="25">
        <f>IF(D287="","",IF(H287="W",1,IF(H287="L",0,"")))</f>
        <v/>
      </c>
      <c r="M287" s="25">
        <f>IF(D287="","",COUNTIFS($D$2:D287,D287))</f>
        <v/>
      </c>
      <c r="N287" s="25">
        <f>IF(D287="","",D287&amp;"|"&amp;M287)</f>
        <v/>
      </c>
      <c r="O287" s="25">
        <f>IF(D287="","",COUNTIFS($D$2:D287,D287,$H$2:H287,"W"))</f>
        <v/>
      </c>
      <c r="P287" s="26">
        <f>IF(D287="","",IFERROR(O287/M287,""))</f>
        <v/>
      </c>
      <c r="Q287" s="25">
        <f>IF(G287="","",IF(G287=1,"1°","2°"))</f>
        <v/>
      </c>
      <c r="R287" s="25">
        <f>IF(B287="","",TEXT(B287,"mmm-yyyy"))</f>
        <v/>
      </c>
    </row>
    <row r="288" ht="15.75" customHeight="1" s="54">
      <c r="C288" s="50" t="n"/>
      <c r="D288" s="50" t="n"/>
      <c r="E288" s="50" t="n"/>
      <c r="F288" s="50" t="n"/>
      <c r="G288" s="50" t="n"/>
      <c r="H288" s="50" t="n"/>
      <c r="J288" s="50" t="n"/>
      <c r="L288" s="25">
        <f>IF(D288="","",IF(H288="W",1,IF(H288="L",0,"")))</f>
        <v/>
      </c>
      <c r="M288" s="25">
        <f>IF(D288="","",COUNTIFS($D$2:D288,D288))</f>
        <v/>
      </c>
      <c r="N288" s="25">
        <f>IF(D288="","",D288&amp;"|"&amp;M288)</f>
        <v/>
      </c>
      <c r="O288" s="25">
        <f>IF(D288="","",COUNTIFS($D$2:D288,D288,$H$2:H288,"W"))</f>
        <v/>
      </c>
      <c r="P288" s="26">
        <f>IF(D288="","",IFERROR(O288/M288,""))</f>
        <v/>
      </c>
      <c r="Q288" s="25">
        <f>IF(G288="","",IF(G288=1,"1°","2°"))</f>
        <v/>
      </c>
      <c r="R288" s="25">
        <f>IF(B288="","",TEXT(B288,"mmm-yyyy"))</f>
        <v/>
      </c>
    </row>
    <row r="289" ht="15.75" customHeight="1" s="54">
      <c r="C289" s="50" t="n"/>
      <c r="D289" s="50" t="n"/>
      <c r="E289" s="50" t="n"/>
      <c r="F289" s="50" t="n"/>
      <c r="G289" s="50" t="n"/>
      <c r="H289" s="50" t="n"/>
      <c r="J289" s="50" t="n"/>
      <c r="L289" s="25">
        <f>IF(D289="","",IF(H289="W",1,IF(H289="L",0,"")))</f>
        <v/>
      </c>
      <c r="M289" s="25">
        <f>IF(D289="","",COUNTIFS($D$2:D289,D289))</f>
        <v/>
      </c>
      <c r="N289" s="25">
        <f>IF(D289="","",D289&amp;"|"&amp;M289)</f>
        <v/>
      </c>
      <c r="O289" s="25">
        <f>IF(D289="","",COUNTIFS($D$2:D289,D289,$H$2:H289,"W"))</f>
        <v/>
      </c>
      <c r="P289" s="26">
        <f>IF(D289="","",IFERROR(O289/M289,""))</f>
        <v/>
      </c>
      <c r="Q289" s="25">
        <f>IF(G289="","",IF(G289=1,"1°","2°"))</f>
        <v/>
      </c>
      <c r="R289" s="25">
        <f>IF(B289="","",TEXT(B289,"mmm-yyyy"))</f>
        <v/>
      </c>
    </row>
    <row r="290" ht="15.75" customHeight="1" s="54">
      <c r="C290" s="50" t="n"/>
      <c r="D290" s="50" t="n"/>
      <c r="E290" s="50" t="n"/>
      <c r="F290" s="50" t="n"/>
      <c r="G290" s="50" t="n"/>
      <c r="H290" s="50" t="n"/>
      <c r="J290" s="50" t="n"/>
      <c r="L290" s="25">
        <f>IF(D290="","",IF(H290="W",1,IF(H290="L",0,"")))</f>
        <v/>
      </c>
      <c r="M290" s="25">
        <f>IF(D290="","",COUNTIFS($D$2:D290,D290))</f>
        <v/>
      </c>
      <c r="N290" s="25">
        <f>IF(D290="","",D290&amp;"|"&amp;M290)</f>
        <v/>
      </c>
      <c r="O290" s="25">
        <f>IF(D290="","",COUNTIFS($D$2:D290,D290,$H$2:H290,"W"))</f>
        <v/>
      </c>
      <c r="P290" s="26">
        <f>IF(D290="","",IFERROR(O290/M290,""))</f>
        <v/>
      </c>
      <c r="Q290" s="25">
        <f>IF(G290="","",IF(G290=1,"1°","2°"))</f>
        <v/>
      </c>
      <c r="R290" s="25">
        <f>IF(B290="","",TEXT(B290,"mmm-yyyy"))</f>
        <v/>
      </c>
    </row>
    <row r="291" ht="15.75" customHeight="1" s="54">
      <c r="C291" s="50" t="n"/>
      <c r="D291" s="50" t="n"/>
      <c r="E291" s="50" t="n"/>
      <c r="F291" s="50" t="n"/>
      <c r="G291" s="50" t="n"/>
      <c r="H291" s="50" t="n"/>
      <c r="J291" s="50" t="n"/>
      <c r="L291" s="25">
        <f>IF(D291="","",IF(H291="W",1,IF(H291="L",0,"")))</f>
        <v/>
      </c>
      <c r="M291" s="25">
        <f>IF(D291="","",COUNTIFS($D$2:D291,D291))</f>
        <v/>
      </c>
      <c r="N291" s="25">
        <f>IF(D291="","",D291&amp;"|"&amp;M291)</f>
        <v/>
      </c>
      <c r="O291" s="25">
        <f>IF(D291="","",COUNTIFS($D$2:D291,D291,$H$2:H291,"W"))</f>
        <v/>
      </c>
      <c r="P291" s="26">
        <f>IF(D291="","",IFERROR(O291/M291,""))</f>
        <v/>
      </c>
      <c r="Q291" s="25">
        <f>IF(G291="","",IF(G291=1,"1°","2°"))</f>
        <v/>
      </c>
      <c r="R291" s="25">
        <f>IF(B291="","",TEXT(B291,"mmm-yyyy"))</f>
        <v/>
      </c>
    </row>
    <row r="292" ht="15.75" customHeight="1" s="54">
      <c r="C292" s="50" t="n"/>
      <c r="D292" s="50" t="n"/>
      <c r="E292" s="50" t="n"/>
      <c r="F292" s="50" t="n"/>
      <c r="G292" s="50" t="n"/>
      <c r="H292" s="50" t="n"/>
      <c r="J292" s="50" t="n"/>
      <c r="L292" s="25">
        <f>IF(D292="","",IF(H292="W",1,IF(H292="L",0,"")))</f>
        <v/>
      </c>
      <c r="M292" s="25">
        <f>IF(D292="","",COUNTIFS($D$2:D292,D292))</f>
        <v/>
      </c>
      <c r="N292" s="25">
        <f>IF(D292="","",D292&amp;"|"&amp;M292)</f>
        <v/>
      </c>
      <c r="O292" s="25">
        <f>IF(D292="","",COUNTIFS($D$2:D292,D292,$H$2:H292,"W"))</f>
        <v/>
      </c>
      <c r="P292" s="26">
        <f>IF(D292="","",IFERROR(O292/M292,""))</f>
        <v/>
      </c>
      <c r="Q292" s="25">
        <f>IF(G292="","",IF(G292=1,"1°","2°"))</f>
        <v/>
      </c>
      <c r="R292" s="25">
        <f>IF(B292="","",TEXT(B292,"mmm-yyyy"))</f>
        <v/>
      </c>
    </row>
    <row r="293" ht="15.75" customHeight="1" s="54">
      <c r="C293" s="50" t="n"/>
      <c r="D293" s="50" t="n"/>
      <c r="E293" s="50" t="n"/>
      <c r="F293" s="50" t="n"/>
      <c r="G293" s="50" t="n"/>
      <c r="H293" s="50" t="n"/>
      <c r="J293" s="50" t="n"/>
      <c r="L293" s="25">
        <f>IF(D293="","",IF(H293="W",1,IF(H293="L",0,"")))</f>
        <v/>
      </c>
      <c r="M293" s="25">
        <f>IF(D293="","",COUNTIFS($D$2:D293,D293))</f>
        <v/>
      </c>
      <c r="N293" s="25">
        <f>IF(D293="","",D293&amp;"|"&amp;M293)</f>
        <v/>
      </c>
      <c r="O293" s="25">
        <f>IF(D293="","",COUNTIFS($D$2:D293,D293,$H$2:H293,"W"))</f>
        <v/>
      </c>
      <c r="P293" s="26">
        <f>IF(D293="","",IFERROR(O293/M293,""))</f>
        <v/>
      </c>
      <c r="Q293" s="25">
        <f>IF(G293="","",IF(G293=1,"1°","2°"))</f>
        <v/>
      </c>
      <c r="R293" s="25">
        <f>IF(B293="","",TEXT(B293,"mmm-yyyy"))</f>
        <v/>
      </c>
    </row>
    <row r="294" ht="15.75" customHeight="1" s="54">
      <c r="C294" s="50" t="n"/>
      <c r="D294" s="50" t="n"/>
      <c r="E294" s="50" t="n"/>
      <c r="F294" s="50" t="n"/>
      <c r="G294" s="50" t="n"/>
      <c r="H294" s="50" t="n"/>
      <c r="J294" s="50" t="n"/>
      <c r="L294" s="25">
        <f>IF(D294="","",IF(H294="W",1,IF(H294="L",0,"")))</f>
        <v/>
      </c>
      <c r="M294" s="25">
        <f>IF(D294="","",COUNTIFS($D$2:D294,D294))</f>
        <v/>
      </c>
      <c r="N294" s="25">
        <f>IF(D294="","",D294&amp;"|"&amp;M294)</f>
        <v/>
      </c>
      <c r="O294" s="25">
        <f>IF(D294="","",COUNTIFS($D$2:D294,D294,$H$2:H294,"W"))</f>
        <v/>
      </c>
      <c r="P294" s="26">
        <f>IF(D294="","",IFERROR(O294/M294,""))</f>
        <v/>
      </c>
      <c r="Q294" s="25">
        <f>IF(G294="","",IF(G294=1,"1°","2°"))</f>
        <v/>
      </c>
      <c r="R294" s="25">
        <f>IF(B294="","",TEXT(B294,"mmm-yyyy"))</f>
        <v/>
      </c>
    </row>
    <row r="295" ht="15.75" customHeight="1" s="54">
      <c r="C295" s="50" t="n"/>
      <c r="D295" s="50" t="n"/>
      <c r="E295" s="50" t="n"/>
      <c r="F295" s="50" t="n"/>
      <c r="G295" s="50" t="n"/>
      <c r="H295" s="50" t="n"/>
      <c r="J295" s="50" t="n"/>
      <c r="L295" s="25">
        <f>IF(D295="","",IF(H295="W",1,IF(H295="L",0,"")))</f>
        <v/>
      </c>
      <c r="M295" s="25">
        <f>IF(D295="","",COUNTIFS($D$2:D295,D295))</f>
        <v/>
      </c>
      <c r="N295" s="25">
        <f>IF(D295="","",D295&amp;"|"&amp;M295)</f>
        <v/>
      </c>
      <c r="O295" s="25">
        <f>IF(D295="","",COUNTIFS($D$2:D295,D295,$H$2:H295,"W"))</f>
        <v/>
      </c>
      <c r="P295" s="26">
        <f>IF(D295="","",IFERROR(O295/M295,""))</f>
        <v/>
      </c>
      <c r="Q295" s="25">
        <f>IF(G295="","",IF(G295=1,"1°","2°"))</f>
        <v/>
      </c>
      <c r="R295" s="25">
        <f>IF(B295="","",TEXT(B295,"mmm-yyyy"))</f>
        <v/>
      </c>
    </row>
    <row r="296" ht="15.75" customHeight="1" s="54">
      <c r="C296" s="50" t="n"/>
      <c r="D296" s="50" t="n"/>
      <c r="E296" s="50" t="n"/>
      <c r="F296" s="50" t="n"/>
      <c r="G296" s="50" t="n"/>
      <c r="H296" s="50" t="n"/>
      <c r="J296" s="50" t="n"/>
      <c r="L296" s="25">
        <f>IF(D296="","",IF(H296="W",1,IF(H296="L",0,"")))</f>
        <v/>
      </c>
      <c r="M296" s="25">
        <f>IF(D296="","",COUNTIFS($D$2:D296,D296))</f>
        <v/>
      </c>
      <c r="N296" s="25">
        <f>IF(D296="","",D296&amp;"|"&amp;M296)</f>
        <v/>
      </c>
      <c r="O296" s="25">
        <f>IF(D296="","",COUNTIFS($D$2:D296,D296,$H$2:H296,"W"))</f>
        <v/>
      </c>
      <c r="P296" s="26">
        <f>IF(D296="","",IFERROR(O296/M296,""))</f>
        <v/>
      </c>
      <c r="Q296" s="25">
        <f>IF(G296="","",IF(G296=1,"1°","2°"))</f>
        <v/>
      </c>
      <c r="R296" s="25">
        <f>IF(B296="","",TEXT(B296,"mmm-yyyy"))</f>
        <v/>
      </c>
    </row>
    <row r="297" ht="15.75" customHeight="1" s="54">
      <c r="C297" s="50" t="n"/>
      <c r="D297" s="50" t="n"/>
      <c r="E297" s="50" t="n"/>
      <c r="F297" s="50" t="n"/>
      <c r="G297" s="50" t="n"/>
      <c r="H297" s="50" t="n"/>
      <c r="J297" s="50" t="n"/>
      <c r="L297" s="25">
        <f>IF(D297="","",IF(H297="W",1,IF(H297="L",0,"")))</f>
        <v/>
      </c>
      <c r="M297" s="25">
        <f>IF(D297="","",COUNTIFS($D$2:D297,D297))</f>
        <v/>
      </c>
      <c r="N297" s="25">
        <f>IF(D297="","",D297&amp;"|"&amp;M297)</f>
        <v/>
      </c>
      <c r="O297" s="25">
        <f>IF(D297="","",COUNTIFS($D$2:D297,D297,$H$2:H297,"W"))</f>
        <v/>
      </c>
      <c r="P297" s="26">
        <f>IF(D297="","",IFERROR(O297/M297,""))</f>
        <v/>
      </c>
      <c r="Q297" s="25">
        <f>IF(G297="","",IF(G297=1,"1°","2°"))</f>
        <v/>
      </c>
      <c r="R297" s="25">
        <f>IF(B297="","",TEXT(B297,"mmm-yyyy"))</f>
        <v/>
      </c>
    </row>
    <row r="298" ht="15.75" customHeight="1" s="54">
      <c r="C298" s="50" t="n"/>
      <c r="D298" s="50" t="n"/>
      <c r="E298" s="50" t="n"/>
      <c r="F298" s="50" t="n"/>
      <c r="G298" s="50" t="n"/>
      <c r="H298" s="50" t="n"/>
      <c r="J298" s="50" t="n"/>
      <c r="L298" s="25">
        <f>IF(D298="","",IF(H298="W",1,IF(H298="L",0,"")))</f>
        <v/>
      </c>
      <c r="M298" s="25">
        <f>IF(D298="","",COUNTIFS($D$2:D298,D298))</f>
        <v/>
      </c>
      <c r="N298" s="25">
        <f>IF(D298="","",D298&amp;"|"&amp;M298)</f>
        <v/>
      </c>
      <c r="O298" s="25">
        <f>IF(D298="","",COUNTIFS($D$2:D298,D298,$H$2:H298,"W"))</f>
        <v/>
      </c>
      <c r="P298" s="26">
        <f>IF(D298="","",IFERROR(O298/M298,""))</f>
        <v/>
      </c>
      <c r="Q298" s="25">
        <f>IF(G298="","",IF(G298=1,"1°","2°"))</f>
        <v/>
      </c>
      <c r="R298" s="25">
        <f>IF(B298="","",TEXT(B298,"mmm-yyyy"))</f>
        <v/>
      </c>
    </row>
    <row r="299" ht="15.75" customHeight="1" s="54">
      <c r="C299" s="50" t="n"/>
      <c r="D299" s="50" t="n"/>
      <c r="E299" s="50" t="n"/>
      <c r="F299" s="50" t="n"/>
      <c r="G299" s="50" t="n"/>
      <c r="H299" s="50" t="n"/>
      <c r="J299" s="50" t="n"/>
      <c r="L299" s="25">
        <f>IF(D299="","",IF(H299="W",1,IF(H299="L",0,"")))</f>
        <v/>
      </c>
      <c r="M299" s="25">
        <f>IF(D299="","",COUNTIFS($D$2:D299,D299))</f>
        <v/>
      </c>
      <c r="N299" s="25">
        <f>IF(D299="","",D299&amp;"|"&amp;M299)</f>
        <v/>
      </c>
      <c r="O299" s="25">
        <f>IF(D299="","",COUNTIFS($D$2:D299,D299,$H$2:H299,"W"))</f>
        <v/>
      </c>
      <c r="P299" s="26">
        <f>IF(D299="","",IFERROR(O299/M299,""))</f>
        <v/>
      </c>
      <c r="Q299" s="25">
        <f>IF(G299="","",IF(G299=1,"1°","2°"))</f>
        <v/>
      </c>
      <c r="R299" s="25">
        <f>IF(B299="","",TEXT(B299,"mmm-yyyy"))</f>
        <v/>
      </c>
    </row>
    <row r="300" ht="15.75" customHeight="1" s="54">
      <c r="C300" s="50" t="n"/>
      <c r="D300" s="50" t="n"/>
      <c r="E300" s="50" t="n"/>
      <c r="F300" s="50" t="n"/>
      <c r="G300" s="50" t="n"/>
      <c r="H300" s="50" t="n"/>
      <c r="J300" s="50" t="n"/>
      <c r="L300" s="25">
        <f>IF(D300="","",IF(H300="W",1,IF(H300="L",0,"")))</f>
        <v/>
      </c>
      <c r="M300" s="25">
        <f>IF(D300="","",COUNTIFS($D$2:D300,D300))</f>
        <v/>
      </c>
      <c r="N300" s="25">
        <f>IF(D300="","",D300&amp;"|"&amp;M300)</f>
        <v/>
      </c>
      <c r="O300" s="25">
        <f>IF(D300="","",COUNTIFS($D$2:D300,D300,$H$2:H300,"W"))</f>
        <v/>
      </c>
      <c r="P300" s="26">
        <f>IF(D300="","",IFERROR(O300/M300,""))</f>
        <v/>
      </c>
      <c r="Q300" s="25">
        <f>IF(G300="","",IF(G300=1,"1°","2°"))</f>
        <v/>
      </c>
      <c r="R300" s="25">
        <f>IF(B300="","",TEXT(B300,"mmm-yyyy"))</f>
        <v/>
      </c>
    </row>
    <row r="301" ht="15.75" customHeight="1" s="54">
      <c r="C301" s="50" t="n"/>
      <c r="D301" s="50" t="n"/>
      <c r="E301" s="50" t="n"/>
      <c r="F301" s="50" t="n"/>
      <c r="G301" s="50" t="n"/>
      <c r="H301" s="50" t="n"/>
      <c r="J301" s="50" t="n"/>
      <c r="L301" s="25">
        <f>IF(D301="","",IF(H301="W",1,IF(H301="L",0,"")))</f>
        <v/>
      </c>
      <c r="M301" s="25">
        <f>IF(D301="","",COUNTIFS($D$2:D301,D301))</f>
        <v/>
      </c>
      <c r="N301" s="25">
        <f>IF(D301="","",D301&amp;"|"&amp;M301)</f>
        <v/>
      </c>
      <c r="O301" s="25">
        <f>IF(D301="","",COUNTIFS($D$2:D301,D301,$H$2:H301,"W"))</f>
        <v/>
      </c>
      <c r="P301" s="26">
        <f>IF(D301="","",IFERROR(O301/M301,""))</f>
        <v/>
      </c>
      <c r="Q301" s="25">
        <f>IF(G301="","",IF(G301=1,"1°","2°"))</f>
        <v/>
      </c>
      <c r="R301" s="25">
        <f>IF(B301="","",TEXT(B301,"mmm-yyyy"))</f>
        <v/>
      </c>
    </row>
    <row r="302" ht="15.75" customHeight="1" s="54">
      <c r="C302" s="50" t="n"/>
      <c r="D302" s="50" t="n"/>
      <c r="E302" s="50" t="n"/>
      <c r="F302" s="50" t="n"/>
      <c r="G302" s="50" t="n"/>
      <c r="H302" s="50" t="n"/>
      <c r="J302" s="50" t="n"/>
      <c r="L302" s="25">
        <f>IF(D302="","",IF(H302="W",1,IF(H302="L",0,"")))</f>
        <v/>
      </c>
      <c r="M302" s="25">
        <f>IF(D302="","",COUNTIFS($D$2:D302,D302))</f>
        <v/>
      </c>
      <c r="N302" s="25">
        <f>IF(D302="","",D302&amp;"|"&amp;M302)</f>
        <v/>
      </c>
      <c r="O302" s="25">
        <f>IF(D302="","",COUNTIFS($D$2:D302,D302,$H$2:H302,"W"))</f>
        <v/>
      </c>
      <c r="P302" s="26">
        <f>IF(D302="","",IFERROR(O302/M302,""))</f>
        <v/>
      </c>
      <c r="Q302" s="25">
        <f>IF(G302="","",IF(G302=1,"1°","2°"))</f>
        <v/>
      </c>
      <c r="R302" s="25">
        <f>IF(B302="","",TEXT(B302,"mmm-yyyy"))</f>
        <v/>
      </c>
    </row>
    <row r="303" ht="15.75" customHeight="1" s="54">
      <c r="C303" s="50" t="n"/>
      <c r="D303" s="50" t="n"/>
      <c r="E303" s="50" t="n"/>
      <c r="F303" s="50" t="n"/>
      <c r="G303" s="50" t="n"/>
      <c r="H303" s="50" t="n"/>
      <c r="J303" s="50" t="n"/>
      <c r="L303" s="25">
        <f>IF(D303="","",IF(H303="W",1,IF(H303="L",0,"")))</f>
        <v/>
      </c>
      <c r="M303" s="25">
        <f>IF(D303="","",COUNTIFS($D$2:D303,D303))</f>
        <v/>
      </c>
      <c r="N303" s="25">
        <f>IF(D303="","",D303&amp;"|"&amp;M303)</f>
        <v/>
      </c>
      <c r="O303" s="25">
        <f>IF(D303="","",COUNTIFS($D$2:D303,D303,$H$2:H303,"W"))</f>
        <v/>
      </c>
      <c r="P303" s="26">
        <f>IF(D303="","",IFERROR(O303/M303,""))</f>
        <v/>
      </c>
      <c r="Q303" s="25">
        <f>IF(G303="","",IF(G303=1,"1°","2°"))</f>
        <v/>
      </c>
      <c r="R303" s="25">
        <f>IF(B303="","",TEXT(B303,"mmm-yyyy"))</f>
        <v/>
      </c>
    </row>
    <row r="304" ht="15.75" customHeight="1" s="54">
      <c r="C304" s="50" t="n"/>
      <c r="D304" s="50" t="n"/>
      <c r="E304" s="50" t="n"/>
      <c r="F304" s="50" t="n"/>
      <c r="G304" s="50" t="n"/>
      <c r="H304" s="50" t="n"/>
      <c r="J304" s="50" t="n"/>
      <c r="L304" s="25">
        <f>IF(D304="","",IF(H304="W",1,IF(H304="L",0,"")))</f>
        <v/>
      </c>
      <c r="M304" s="25">
        <f>IF(D304="","",COUNTIFS($D$2:D304,D304))</f>
        <v/>
      </c>
      <c r="N304" s="25">
        <f>IF(D304="","",D304&amp;"|"&amp;M304)</f>
        <v/>
      </c>
      <c r="O304" s="25">
        <f>IF(D304="","",COUNTIFS($D$2:D304,D304,$H$2:H304,"W"))</f>
        <v/>
      </c>
      <c r="P304" s="26">
        <f>IF(D304="","",IFERROR(O304/M304,""))</f>
        <v/>
      </c>
      <c r="Q304" s="25">
        <f>IF(G304="","",IF(G304=1,"1°","2°"))</f>
        <v/>
      </c>
      <c r="R304" s="25">
        <f>IF(B304="","",TEXT(B304,"mmm-yyyy"))</f>
        <v/>
      </c>
    </row>
    <row r="305" ht="15.75" customHeight="1" s="54">
      <c r="C305" s="50" t="n"/>
      <c r="D305" s="50" t="n"/>
      <c r="E305" s="50" t="n"/>
      <c r="F305" s="50" t="n"/>
      <c r="G305" s="50" t="n"/>
      <c r="H305" s="50" t="n"/>
      <c r="J305" s="50" t="n"/>
      <c r="L305" s="25">
        <f>IF(D305="","",IF(H305="W",1,IF(H305="L",0,"")))</f>
        <v/>
      </c>
      <c r="M305" s="25">
        <f>IF(D305="","",COUNTIFS($D$2:D305,D305))</f>
        <v/>
      </c>
      <c r="N305" s="25">
        <f>IF(D305="","",D305&amp;"|"&amp;M305)</f>
        <v/>
      </c>
      <c r="O305" s="25">
        <f>IF(D305="","",COUNTIFS($D$2:D305,D305,$H$2:H305,"W"))</f>
        <v/>
      </c>
      <c r="P305" s="26">
        <f>IF(D305="","",IFERROR(O305/M305,""))</f>
        <v/>
      </c>
      <c r="Q305" s="25">
        <f>IF(G305="","",IF(G305=1,"1°","2°"))</f>
        <v/>
      </c>
      <c r="R305" s="25">
        <f>IF(B305="","",TEXT(B305,"mmm-yyyy"))</f>
        <v/>
      </c>
    </row>
    <row r="306" ht="15.75" customHeight="1" s="54">
      <c r="C306" s="50" t="n"/>
      <c r="D306" s="50" t="n"/>
      <c r="E306" s="50" t="n"/>
      <c r="F306" s="50" t="n"/>
      <c r="G306" s="50" t="n"/>
      <c r="H306" s="50" t="n"/>
      <c r="J306" s="50" t="n"/>
      <c r="L306" s="25">
        <f>IF(D306="","",IF(H306="W",1,IF(H306="L",0,"")))</f>
        <v/>
      </c>
      <c r="M306" s="25">
        <f>IF(D306="","",COUNTIFS($D$2:D306,D306))</f>
        <v/>
      </c>
      <c r="N306" s="25">
        <f>IF(D306="","",D306&amp;"|"&amp;M306)</f>
        <v/>
      </c>
      <c r="O306" s="25">
        <f>IF(D306="","",COUNTIFS($D$2:D306,D306,$H$2:H306,"W"))</f>
        <v/>
      </c>
      <c r="P306" s="26">
        <f>IF(D306="","",IFERROR(O306/M306,""))</f>
        <v/>
      </c>
      <c r="Q306" s="25">
        <f>IF(G306="","",IF(G306=1,"1°","2°"))</f>
        <v/>
      </c>
      <c r="R306" s="25">
        <f>IF(B306="","",TEXT(B306,"mmm-yyyy"))</f>
        <v/>
      </c>
    </row>
    <row r="307" ht="15.75" customHeight="1" s="54">
      <c r="C307" s="50" t="n"/>
      <c r="D307" s="50" t="n"/>
      <c r="E307" s="50" t="n"/>
      <c r="F307" s="50" t="n"/>
      <c r="G307" s="50" t="n"/>
      <c r="H307" s="50" t="n"/>
      <c r="J307" s="50" t="n"/>
      <c r="L307" s="25">
        <f>IF(D307="","",IF(H307="W",1,IF(H307="L",0,"")))</f>
        <v/>
      </c>
      <c r="M307" s="25">
        <f>IF(D307="","",COUNTIFS($D$2:D307,D307))</f>
        <v/>
      </c>
      <c r="N307" s="25">
        <f>IF(D307="","",D307&amp;"|"&amp;M307)</f>
        <v/>
      </c>
      <c r="O307" s="25">
        <f>IF(D307="","",COUNTIFS($D$2:D307,D307,$H$2:H307,"W"))</f>
        <v/>
      </c>
      <c r="P307" s="26">
        <f>IF(D307="","",IFERROR(O307/M307,""))</f>
        <v/>
      </c>
      <c r="Q307" s="25">
        <f>IF(G307="","",IF(G307=1,"1°","2°"))</f>
        <v/>
      </c>
      <c r="R307" s="25">
        <f>IF(B307="","",TEXT(B307,"mmm-yyyy"))</f>
        <v/>
      </c>
    </row>
    <row r="308" ht="15.75" customHeight="1" s="54">
      <c r="C308" s="50" t="n"/>
      <c r="D308" s="50" t="n"/>
      <c r="E308" s="50" t="n"/>
      <c r="F308" s="50" t="n"/>
      <c r="G308" s="50" t="n"/>
      <c r="H308" s="50" t="n"/>
      <c r="J308" s="50" t="n"/>
      <c r="L308" s="25">
        <f>IF(D308="","",IF(H308="W",1,IF(H308="L",0,"")))</f>
        <v/>
      </c>
      <c r="M308" s="25">
        <f>IF(D308="","",COUNTIFS($D$2:D308,D308))</f>
        <v/>
      </c>
      <c r="N308" s="25">
        <f>IF(D308="","",D308&amp;"|"&amp;M308)</f>
        <v/>
      </c>
      <c r="O308" s="25">
        <f>IF(D308="","",COUNTIFS($D$2:D308,D308,$H$2:H308,"W"))</f>
        <v/>
      </c>
      <c r="P308" s="26">
        <f>IF(D308="","",IFERROR(O308/M308,""))</f>
        <v/>
      </c>
      <c r="Q308" s="25">
        <f>IF(G308="","",IF(G308=1,"1°","2°"))</f>
        <v/>
      </c>
      <c r="R308" s="25">
        <f>IF(B308="","",TEXT(B308,"mmm-yyyy"))</f>
        <v/>
      </c>
    </row>
    <row r="309" ht="15.75" customHeight="1" s="54">
      <c r="C309" s="50" t="n"/>
      <c r="D309" s="50" t="n"/>
      <c r="E309" s="50" t="n"/>
      <c r="F309" s="50" t="n"/>
      <c r="G309" s="50" t="n"/>
      <c r="H309" s="50" t="n"/>
      <c r="J309" s="50" t="n"/>
      <c r="L309" s="25">
        <f>IF(D309="","",IF(H309="W",1,IF(H309="L",0,"")))</f>
        <v/>
      </c>
      <c r="M309" s="25">
        <f>IF(D309="","",COUNTIFS($D$2:D309,D309))</f>
        <v/>
      </c>
      <c r="N309" s="25">
        <f>IF(D309="","",D309&amp;"|"&amp;M309)</f>
        <v/>
      </c>
      <c r="O309" s="25">
        <f>IF(D309="","",COUNTIFS($D$2:D309,D309,$H$2:H309,"W"))</f>
        <v/>
      </c>
      <c r="P309" s="26">
        <f>IF(D309="","",IFERROR(O309/M309,""))</f>
        <v/>
      </c>
      <c r="Q309" s="25">
        <f>IF(G309="","",IF(G309=1,"1°","2°"))</f>
        <v/>
      </c>
      <c r="R309" s="25">
        <f>IF(B309="","",TEXT(B309,"mmm-yyyy"))</f>
        <v/>
      </c>
    </row>
    <row r="310" ht="15.75" customHeight="1" s="54">
      <c r="C310" s="50" t="n"/>
      <c r="D310" s="50" t="n"/>
      <c r="E310" s="50" t="n"/>
      <c r="F310" s="50" t="n"/>
      <c r="G310" s="50" t="n"/>
      <c r="H310" s="50" t="n"/>
      <c r="J310" s="50" t="n"/>
      <c r="L310" s="25">
        <f>IF(D310="","",IF(H310="W",1,IF(H310="L",0,"")))</f>
        <v/>
      </c>
      <c r="M310" s="25">
        <f>IF(D310="","",COUNTIFS($D$2:D310,D310))</f>
        <v/>
      </c>
      <c r="N310" s="25">
        <f>IF(D310="","",D310&amp;"|"&amp;M310)</f>
        <v/>
      </c>
      <c r="O310" s="25">
        <f>IF(D310="","",COUNTIFS($D$2:D310,D310,$H$2:H310,"W"))</f>
        <v/>
      </c>
      <c r="P310" s="26">
        <f>IF(D310="","",IFERROR(O310/M310,""))</f>
        <v/>
      </c>
      <c r="Q310" s="25">
        <f>IF(G310="","",IF(G310=1,"1°","2°"))</f>
        <v/>
      </c>
      <c r="R310" s="25">
        <f>IF(B310="","",TEXT(B310,"mmm-yyyy"))</f>
        <v/>
      </c>
    </row>
    <row r="311" ht="15.75" customHeight="1" s="54">
      <c r="C311" s="50" t="n"/>
      <c r="D311" s="50" t="n"/>
      <c r="E311" s="50" t="n"/>
      <c r="F311" s="50" t="n"/>
      <c r="G311" s="50" t="n"/>
      <c r="H311" s="50" t="n"/>
      <c r="J311" s="50" t="n"/>
      <c r="L311" s="25">
        <f>IF(D311="","",IF(H311="W",1,IF(H311="L",0,"")))</f>
        <v/>
      </c>
      <c r="M311" s="25">
        <f>IF(D311="","",COUNTIFS($D$2:D311,D311))</f>
        <v/>
      </c>
      <c r="N311" s="25">
        <f>IF(D311="","",D311&amp;"|"&amp;M311)</f>
        <v/>
      </c>
      <c r="O311" s="25">
        <f>IF(D311="","",COUNTIFS($D$2:D311,D311,$H$2:H311,"W"))</f>
        <v/>
      </c>
      <c r="P311" s="26">
        <f>IF(D311="","",IFERROR(O311/M311,""))</f>
        <v/>
      </c>
      <c r="Q311" s="25">
        <f>IF(G311="","",IF(G311=1,"1°","2°"))</f>
        <v/>
      </c>
      <c r="R311" s="25">
        <f>IF(B311="","",TEXT(B311,"mmm-yyyy"))</f>
        <v/>
      </c>
    </row>
    <row r="312" ht="15.75" customHeight="1" s="54">
      <c r="C312" s="50" t="n"/>
      <c r="D312" s="50" t="n"/>
      <c r="E312" s="50" t="n"/>
      <c r="F312" s="50" t="n"/>
      <c r="G312" s="50" t="n"/>
      <c r="H312" s="50" t="n"/>
      <c r="J312" s="50" t="n"/>
      <c r="L312" s="25">
        <f>IF(D312="","",IF(H312="W",1,IF(H312="L",0,"")))</f>
        <v/>
      </c>
      <c r="M312" s="25">
        <f>IF(D312="","",COUNTIFS($D$2:D312,D312))</f>
        <v/>
      </c>
      <c r="N312" s="25">
        <f>IF(D312="","",D312&amp;"|"&amp;M312)</f>
        <v/>
      </c>
      <c r="O312" s="25">
        <f>IF(D312="","",COUNTIFS($D$2:D312,D312,$H$2:H312,"W"))</f>
        <v/>
      </c>
      <c r="P312" s="26">
        <f>IF(D312="","",IFERROR(O312/M312,""))</f>
        <v/>
      </c>
      <c r="Q312" s="25">
        <f>IF(G312="","",IF(G312=1,"1°","2°"))</f>
        <v/>
      </c>
      <c r="R312" s="25">
        <f>IF(B312="","",TEXT(B312,"mmm-yyyy"))</f>
        <v/>
      </c>
    </row>
    <row r="313" ht="15.75" customHeight="1" s="54">
      <c r="C313" s="50" t="n"/>
      <c r="D313" s="50" t="n"/>
      <c r="E313" s="50" t="n"/>
      <c r="F313" s="50" t="n"/>
      <c r="G313" s="50" t="n"/>
      <c r="H313" s="50" t="n"/>
      <c r="J313" s="50" t="n"/>
      <c r="L313" s="25">
        <f>IF(D313="","",IF(H313="W",1,IF(H313="L",0,"")))</f>
        <v/>
      </c>
      <c r="M313" s="25">
        <f>IF(D313="","",COUNTIFS($D$2:D313,D313))</f>
        <v/>
      </c>
      <c r="N313" s="25">
        <f>IF(D313="","",D313&amp;"|"&amp;M313)</f>
        <v/>
      </c>
      <c r="O313" s="25">
        <f>IF(D313="","",COUNTIFS($D$2:D313,D313,$H$2:H313,"W"))</f>
        <v/>
      </c>
      <c r="P313" s="26">
        <f>IF(D313="","",IFERROR(O313/M313,""))</f>
        <v/>
      </c>
      <c r="Q313" s="25">
        <f>IF(G313="","",IF(G313=1,"1°","2°"))</f>
        <v/>
      </c>
      <c r="R313" s="25">
        <f>IF(B313="","",TEXT(B313,"mmm-yyyy"))</f>
        <v/>
      </c>
    </row>
    <row r="314" ht="15.75" customHeight="1" s="54">
      <c r="C314" s="50" t="n"/>
      <c r="D314" s="50" t="n"/>
      <c r="E314" s="50" t="n"/>
      <c r="F314" s="50" t="n"/>
      <c r="G314" s="50" t="n"/>
      <c r="H314" s="50" t="n"/>
      <c r="J314" s="50" t="n"/>
      <c r="L314" s="25">
        <f>IF(D314="","",IF(H314="W",1,IF(H314="L",0,"")))</f>
        <v/>
      </c>
      <c r="M314" s="25">
        <f>IF(D314="","",COUNTIFS($D$2:D314,D314))</f>
        <v/>
      </c>
      <c r="N314" s="25">
        <f>IF(D314="","",D314&amp;"|"&amp;M314)</f>
        <v/>
      </c>
      <c r="O314" s="25">
        <f>IF(D314="","",COUNTIFS($D$2:D314,D314,$H$2:H314,"W"))</f>
        <v/>
      </c>
      <c r="P314" s="26">
        <f>IF(D314="","",IFERROR(O314/M314,""))</f>
        <v/>
      </c>
      <c r="Q314" s="25">
        <f>IF(G314="","",IF(G314=1,"1°","2°"))</f>
        <v/>
      </c>
      <c r="R314" s="25">
        <f>IF(B314="","",TEXT(B314,"mmm-yyyy"))</f>
        <v/>
      </c>
    </row>
    <row r="315" ht="15.75" customHeight="1" s="54">
      <c r="C315" s="50" t="n"/>
      <c r="D315" s="50" t="n"/>
      <c r="E315" s="50" t="n"/>
      <c r="F315" s="50" t="n"/>
      <c r="G315" s="50" t="n"/>
      <c r="H315" s="50" t="n"/>
      <c r="J315" s="50" t="n"/>
      <c r="L315" s="25">
        <f>IF(D315="","",IF(H315="W",1,IF(H315="L",0,"")))</f>
        <v/>
      </c>
      <c r="M315" s="25">
        <f>IF(D315="","",COUNTIFS($D$2:D315,D315))</f>
        <v/>
      </c>
      <c r="N315" s="25">
        <f>IF(D315="","",D315&amp;"|"&amp;M315)</f>
        <v/>
      </c>
      <c r="O315" s="25">
        <f>IF(D315="","",COUNTIFS($D$2:D315,D315,$H$2:H315,"W"))</f>
        <v/>
      </c>
      <c r="P315" s="26">
        <f>IF(D315="","",IFERROR(O315/M315,""))</f>
        <v/>
      </c>
      <c r="Q315" s="25">
        <f>IF(G315="","",IF(G315=1,"1°","2°"))</f>
        <v/>
      </c>
      <c r="R315" s="25">
        <f>IF(B315="","",TEXT(B315,"mmm-yyyy"))</f>
        <v/>
      </c>
    </row>
    <row r="316" ht="15.75" customHeight="1" s="54">
      <c r="C316" s="50" t="n"/>
      <c r="D316" s="50" t="n"/>
      <c r="E316" s="50" t="n"/>
      <c r="F316" s="50" t="n"/>
      <c r="G316" s="50" t="n"/>
      <c r="H316" s="50" t="n"/>
      <c r="J316" s="50" t="n"/>
      <c r="L316" s="25">
        <f>IF(D316="","",IF(H316="W",1,IF(H316="L",0,"")))</f>
        <v/>
      </c>
      <c r="M316" s="25">
        <f>IF(D316="","",COUNTIFS($D$2:D316,D316))</f>
        <v/>
      </c>
      <c r="N316" s="25">
        <f>IF(D316="","",D316&amp;"|"&amp;M316)</f>
        <v/>
      </c>
      <c r="O316" s="25">
        <f>IF(D316="","",COUNTIFS($D$2:D316,D316,$H$2:H316,"W"))</f>
        <v/>
      </c>
      <c r="P316" s="26">
        <f>IF(D316="","",IFERROR(O316/M316,""))</f>
        <v/>
      </c>
      <c r="Q316" s="25">
        <f>IF(G316="","",IF(G316=1,"1°","2°"))</f>
        <v/>
      </c>
      <c r="R316" s="25">
        <f>IF(B316="","",TEXT(B316,"mmm-yyyy"))</f>
        <v/>
      </c>
    </row>
    <row r="317" ht="15.75" customHeight="1" s="54">
      <c r="C317" s="50" t="n"/>
      <c r="D317" s="50" t="n"/>
      <c r="E317" s="50" t="n"/>
      <c r="F317" s="50" t="n"/>
      <c r="G317" s="50" t="n"/>
      <c r="H317" s="50" t="n"/>
      <c r="J317" s="50" t="n"/>
      <c r="L317" s="25">
        <f>IF(D317="","",IF(H317="W",1,IF(H317="L",0,"")))</f>
        <v/>
      </c>
      <c r="M317" s="25">
        <f>IF(D317="","",COUNTIFS($D$2:D317,D317))</f>
        <v/>
      </c>
      <c r="N317" s="25">
        <f>IF(D317="","",D317&amp;"|"&amp;M317)</f>
        <v/>
      </c>
      <c r="O317" s="25">
        <f>IF(D317="","",COUNTIFS($D$2:D317,D317,$H$2:H317,"W"))</f>
        <v/>
      </c>
      <c r="P317" s="26">
        <f>IF(D317="","",IFERROR(O317/M317,""))</f>
        <v/>
      </c>
      <c r="Q317" s="25">
        <f>IF(G317="","",IF(G317=1,"1°","2°"))</f>
        <v/>
      </c>
      <c r="R317" s="25">
        <f>IF(B317="","",TEXT(B317,"mmm-yyyy"))</f>
        <v/>
      </c>
    </row>
    <row r="318" ht="15.75" customHeight="1" s="54">
      <c r="C318" s="50" t="n"/>
      <c r="D318" s="50" t="n"/>
      <c r="E318" s="50" t="n"/>
      <c r="F318" s="50" t="n"/>
      <c r="G318" s="50" t="n"/>
      <c r="H318" s="50" t="n"/>
      <c r="J318" s="50" t="n"/>
      <c r="L318" s="25">
        <f>IF(D318="","",IF(H318="W",1,IF(H318="L",0,"")))</f>
        <v/>
      </c>
      <c r="M318" s="25">
        <f>IF(D318="","",COUNTIFS($D$2:D318,D318))</f>
        <v/>
      </c>
      <c r="N318" s="25">
        <f>IF(D318="","",D318&amp;"|"&amp;M318)</f>
        <v/>
      </c>
      <c r="O318" s="25">
        <f>IF(D318="","",COUNTIFS($D$2:D318,D318,$H$2:H318,"W"))</f>
        <v/>
      </c>
      <c r="P318" s="26">
        <f>IF(D318="","",IFERROR(O318/M318,""))</f>
        <v/>
      </c>
      <c r="Q318" s="25">
        <f>IF(G318="","",IF(G318=1,"1°","2°"))</f>
        <v/>
      </c>
      <c r="R318" s="25">
        <f>IF(B318="","",TEXT(B318,"mmm-yyyy"))</f>
        <v/>
      </c>
    </row>
    <row r="319" ht="15.75" customHeight="1" s="54">
      <c r="C319" s="50" t="n"/>
      <c r="D319" s="50" t="n"/>
      <c r="E319" s="50" t="n"/>
      <c r="F319" s="50" t="n"/>
      <c r="G319" s="50" t="n"/>
      <c r="H319" s="50" t="n"/>
      <c r="J319" s="50" t="n"/>
      <c r="L319" s="25">
        <f>IF(D319="","",IF(H319="W",1,IF(H319="L",0,"")))</f>
        <v/>
      </c>
      <c r="M319" s="25">
        <f>IF(D319="","",COUNTIFS($D$2:D319,D319))</f>
        <v/>
      </c>
      <c r="N319" s="25">
        <f>IF(D319="","",D319&amp;"|"&amp;M319)</f>
        <v/>
      </c>
      <c r="O319" s="25">
        <f>IF(D319="","",COUNTIFS($D$2:D319,D319,$H$2:H319,"W"))</f>
        <v/>
      </c>
      <c r="P319" s="26">
        <f>IF(D319="","",IFERROR(O319/M319,""))</f>
        <v/>
      </c>
      <c r="Q319" s="25">
        <f>IF(G319="","",IF(G319=1,"1°","2°"))</f>
        <v/>
      </c>
      <c r="R319" s="25">
        <f>IF(B319="","",TEXT(B319,"mmm-yyyy"))</f>
        <v/>
      </c>
    </row>
    <row r="320" ht="15.75" customHeight="1" s="54">
      <c r="C320" s="50" t="n"/>
      <c r="D320" s="50" t="n"/>
      <c r="E320" s="50" t="n"/>
      <c r="F320" s="50" t="n"/>
      <c r="G320" s="50" t="n"/>
      <c r="H320" s="50" t="n"/>
      <c r="J320" s="50" t="n"/>
      <c r="L320" s="25">
        <f>IF(D320="","",IF(H320="W",1,IF(H320="L",0,"")))</f>
        <v/>
      </c>
      <c r="M320" s="25">
        <f>IF(D320="","",COUNTIFS($D$2:D320,D320))</f>
        <v/>
      </c>
      <c r="N320" s="25">
        <f>IF(D320="","",D320&amp;"|"&amp;M320)</f>
        <v/>
      </c>
      <c r="O320" s="25">
        <f>IF(D320="","",COUNTIFS($D$2:D320,D320,$H$2:H320,"W"))</f>
        <v/>
      </c>
      <c r="P320" s="26">
        <f>IF(D320="","",IFERROR(O320/M320,""))</f>
        <v/>
      </c>
      <c r="Q320" s="25">
        <f>IF(G320="","",IF(G320=1,"1°","2°"))</f>
        <v/>
      </c>
      <c r="R320" s="25">
        <f>IF(B320="","",TEXT(B320,"mmm-yyyy"))</f>
        <v/>
      </c>
    </row>
    <row r="321" ht="15.75" customHeight="1" s="54">
      <c r="C321" s="50" t="n"/>
      <c r="D321" s="50" t="n"/>
      <c r="E321" s="50" t="n"/>
      <c r="F321" s="50" t="n"/>
      <c r="G321" s="50" t="n"/>
      <c r="H321" s="50" t="n"/>
      <c r="J321" s="50" t="n"/>
      <c r="L321" s="25">
        <f>IF(D321="","",IF(H321="W",1,IF(H321="L",0,"")))</f>
        <v/>
      </c>
      <c r="M321" s="25">
        <f>IF(D321="","",COUNTIFS($D$2:D321,D321))</f>
        <v/>
      </c>
      <c r="N321" s="25">
        <f>IF(D321="","",D321&amp;"|"&amp;M321)</f>
        <v/>
      </c>
      <c r="O321" s="25">
        <f>IF(D321="","",COUNTIFS($D$2:D321,D321,$H$2:H321,"W"))</f>
        <v/>
      </c>
      <c r="P321" s="26">
        <f>IF(D321="","",IFERROR(O321/M321,""))</f>
        <v/>
      </c>
      <c r="Q321" s="25">
        <f>IF(G321="","",IF(G321=1,"1°","2°"))</f>
        <v/>
      </c>
      <c r="R321" s="25">
        <f>IF(B321="","",TEXT(B321,"mmm-yyyy"))</f>
        <v/>
      </c>
    </row>
    <row r="322" ht="15.75" customHeight="1" s="54">
      <c r="C322" s="50" t="n"/>
      <c r="D322" s="50" t="n"/>
      <c r="E322" s="50" t="n"/>
      <c r="F322" s="50" t="n"/>
      <c r="G322" s="50" t="n"/>
      <c r="H322" s="50" t="n"/>
      <c r="J322" s="50" t="n"/>
      <c r="L322" s="25">
        <f>IF(D322="","",IF(H322="W",1,IF(H322="L",0,"")))</f>
        <v/>
      </c>
      <c r="M322" s="25">
        <f>IF(D322="","",COUNTIFS($D$2:D322,D322))</f>
        <v/>
      </c>
      <c r="N322" s="25">
        <f>IF(D322="","",D322&amp;"|"&amp;M322)</f>
        <v/>
      </c>
      <c r="O322" s="25">
        <f>IF(D322="","",COUNTIFS($D$2:D322,D322,$H$2:H322,"W"))</f>
        <v/>
      </c>
      <c r="P322" s="26">
        <f>IF(D322="","",IFERROR(O322/M322,""))</f>
        <v/>
      </c>
      <c r="Q322" s="25">
        <f>IF(G322="","",IF(G322=1,"1°","2°"))</f>
        <v/>
      </c>
      <c r="R322" s="25">
        <f>IF(B322="","",TEXT(B322,"mmm-yyyy"))</f>
        <v/>
      </c>
    </row>
    <row r="323" ht="15.75" customHeight="1" s="54">
      <c r="C323" s="50" t="n"/>
      <c r="D323" s="50" t="n"/>
      <c r="E323" s="50" t="n"/>
      <c r="F323" s="50" t="n"/>
      <c r="G323" s="50" t="n"/>
      <c r="H323" s="50" t="n"/>
      <c r="J323" s="50" t="n"/>
      <c r="L323" s="25">
        <f>IF(D323="","",IF(H323="W",1,IF(H323="L",0,"")))</f>
        <v/>
      </c>
      <c r="M323" s="25">
        <f>IF(D323="","",COUNTIFS($D$2:D323,D323))</f>
        <v/>
      </c>
      <c r="N323" s="25">
        <f>IF(D323="","",D323&amp;"|"&amp;M323)</f>
        <v/>
      </c>
      <c r="O323" s="25">
        <f>IF(D323="","",COUNTIFS($D$2:D323,D323,$H$2:H323,"W"))</f>
        <v/>
      </c>
      <c r="P323" s="26">
        <f>IF(D323="","",IFERROR(O323/M323,""))</f>
        <v/>
      </c>
      <c r="Q323" s="25">
        <f>IF(G323="","",IF(G323=1,"1°","2°"))</f>
        <v/>
      </c>
      <c r="R323" s="25">
        <f>IF(B323="","",TEXT(B323,"mmm-yyyy"))</f>
        <v/>
      </c>
    </row>
    <row r="324" ht="15.75" customHeight="1" s="54">
      <c r="C324" s="50" t="n"/>
      <c r="D324" s="50" t="n"/>
      <c r="E324" s="50" t="n"/>
      <c r="F324" s="50" t="n"/>
      <c r="G324" s="50" t="n"/>
      <c r="H324" s="50" t="n"/>
      <c r="J324" s="50" t="n"/>
      <c r="L324" s="25">
        <f>IF(D324="","",IF(H324="W",1,IF(H324="L",0,"")))</f>
        <v/>
      </c>
      <c r="M324" s="25">
        <f>IF(D324="","",COUNTIFS($D$2:D324,D324))</f>
        <v/>
      </c>
      <c r="N324" s="25">
        <f>IF(D324="","",D324&amp;"|"&amp;M324)</f>
        <v/>
      </c>
      <c r="O324" s="25">
        <f>IF(D324="","",COUNTIFS($D$2:D324,D324,$H$2:H324,"W"))</f>
        <v/>
      </c>
      <c r="P324" s="26">
        <f>IF(D324="","",IFERROR(O324/M324,""))</f>
        <v/>
      </c>
      <c r="Q324" s="25">
        <f>IF(G324="","",IF(G324=1,"1°","2°"))</f>
        <v/>
      </c>
      <c r="R324" s="25">
        <f>IF(B324="","",TEXT(B324,"mmm-yyyy"))</f>
        <v/>
      </c>
    </row>
    <row r="325" ht="15.75" customHeight="1" s="54">
      <c r="C325" s="50" t="n"/>
      <c r="D325" s="50" t="n"/>
      <c r="E325" s="50" t="n"/>
      <c r="F325" s="50" t="n"/>
      <c r="G325" s="50" t="n"/>
      <c r="H325" s="50" t="n"/>
      <c r="J325" s="50" t="n"/>
      <c r="L325" s="25">
        <f>IF(D325="","",IF(H325="W",1,IF(H325="L",0,"")))</f>
        <v/>
      </c>
      <c r="M325" s="25">
        <f>IF(D325="","",COUNTIFS($D$2:D325,D325))</f>
        <v/>
      </c>
      <c r="N325" s="25">
        <f>IF(D325="","",D325&amp;"|"&amp;M325)</f>
        <v/>
      </c>
      <c r="O325" s="25">
        <f>IF(D325="","",COUNTIFS($D$2:D325,D325,$H$2:H325,"W"))</f>
        <v/>
      </c>
      <c r="P325" s="26">
        <f>IF(D325="","",IFERROR(O325/M325,""))</f>
        <v/>
      </c>
      <c r="Q325" s="25">
        <f>IF(G325="","",IF(G325=1,"1°","2°"))</f>
        <v/>
      </c>
      <c r="R325" s="25">
        <f>IF(B325="","",TEXT(B325,"mmm-yyyy"))</f>
        <v/>
      </c>
    </row>
    <row r="326" ht="15.75" customHeight="1" s="54">
      <c r="C326" s="50" t="n"/>
      <c r="D326" s="50" t="n"/>
      <c r="E326" s="50" t="n"/>
      <c r="F326" s="50" t="n"/>
      <c r="G326" s="50" t="n"/>
      <c r="H326" s="50" t="n"/>
      <c r="J326" s="50" t="n"/>
      <c r="L326" s="25">
        <f>IF(D326="","",IF(H326="W",1,IF(H326="L",0,"")))</f>
        <v/>
      </c>
      <c r="M326" s="25">
        <f>IF(D326="","",COUNTIFS($D$2:D326,D326))</f>
        <v/>
      </c>
      <c r="N326" s="25">
        <f>IF(D326="","",D326&amp;"|"&amp;M326)</f>
        <v/>
      </c>
      <c r="O326" s="25">
        <f>IF(D326="","",COUNTIFS($D$2:D326,D326,$H$2:H326,"W"))</f>
        <v/>
      </c>
      <c r="P326" s="26">
        <f>IF(D326="","",IFERROR(O326/M326,""))</f>
        <v/>
      </c>
      <c r="Q326" s="25">
        <f>IF(G326="","",IF(G326=1,"1°","2°"))</f>
        <v/>
      </c>
      <c r="R326" s="25">
        <f>IF(B326="","",TEXT(B326,"mmm-yyyy"))</f>
        <v/>
      </c>
    </row>
    <row r="327" ht="15.75" customHeight="1" s="54">
      <c r="C327" s="50" t="n"/>
      <c r="D327" s="50" t="n"/>
      <c r="E327" s="50" t="n"/>
      <c r="F327" s="50" t="n"/>
      <c r="G327" s="50" t="n"/>
      <c r="H327" s="50" t="n"/>
      <c r="J327" s="50" t="n"/>
      <c r="L327" s="25">
        <f>IF(D327="","",IF(H327="W",1,IF(H327="L",0,"")))</f>
        <v/>
      </c>
      <c r="M327" s="25">
        <f>IF(D327="","",COUNTIFS($D$2:D327,D327))</f>
        <v/>
      </c>
      <c r="N327" s="25">
        <f>IF(D327="","",D327&amp;"|"&amp;M327)</f>
        <v/>
      </c>
      <c r="O327" s="25">
        <f>IF(D327="","",COUNTIFS($D$2:D327,D327,$H$2:H327,"W"))</f>
        <v/>
      </c>
      <c r="P327" s="26">
        <f>IF(D327="","",IFERROR(O327/M327,""))</f>
        <v/>
      </c>
      <c r="Q327" s="25">
        <f>IF(G327="","",IF(G327=1,"1°","2°"))</f>
        <v/>
      </c>
      <c r="R327" s="25">
        <f>IF(B327="","",TEXT(B327,"mmm-yyyy"))</f>
        <v/>
      </c>
    </row>
    <row r="328" ht="15.75" customHeight="1" s="54">
      <c r="C328" s="50" t="n"/>
      <c r="D328" s="50" t="n"/>
      <c r="E328" s="50" t="n"/>
      <c r="F328" s="50" t="n"/>
      <c r="G328" s="50" t="n"/>
      <c r="H328" s="50" t="n"/>
      <c r="J328" s="50" t="n"/>
      <c r="L328" s="25">
        <f>IF(D328="","",IF(H328="W",1,IF(H328="L",0,"")))</f>
        <v/>
      </c>
      <c r="M328" s="25">
        <f>IF(D328="","",COUNTIFS($D$2:D328,D328))</f>
        <v/>
      </c>
      <c r="N328" s="25">
        <f>IF(D328="","",D328&amp;"|"&amp;M328)</f>
        <v/>
      </c>
      <c r="O328" s="25">
        <f>IF(D328="","",COUNTIFS($D$2:D328,D328,$H$2:H328,"W"))</f>
        <v/>
      </c>
      <c r="P328" s="26">
        <f>IF(D328="","",IFERROR(O328/M328,""))</f>
        <v/>
      </c>
      <c r="Q328" s="25">
        <f>IF(G328="","",IF(G328=1,"1°","2°"))</f>
        <v/>
      </c>
      <c r="R328" s="25">
        <f>IF(B328="","",TEXT(B328,"mmm-yyyy"))</f>
        <v/>
      </c>
    </row>
    <row r="329" ht="15.75" customHeight="1" s="54">
      <c r="C329" s="50" t="n"/>
      <c r="D329" s="50" t="n"/>
      <c r="E329" s="50" t="n"/>
      <c r="F329" s="50" t="n"/>
      <c r="G329" s="50" t="n"/>
      <c r="H329" s="50" t="n"/>
      <c r="J329" s="50" t="n"/>
      <c r="L329" s="25">
        <f>IF(D329="","",IF(H329="W",1,IF(H329="L",0,"")))</f>
        <v/>
      </c>
      <c r="M329" s="25">
        <f>IF(D329="","",COUNTIFS($D$2:D329,D329))</f>
        <v/>
      </c>
      <c r="N329" s="25">
        <f>IF(D329="","",D329&amp;"|"&amp;M329)</f>
        <v/>
      </c>
      <c r="O329" s="25">
        <f>IF(D329="","",COUNTIFS($D$2:D329,D329,$H$2:H329,"W"))</f>
        <v/>
      </c>
      <c r="P329" s="26">
        <f>IF(D329="","",IFERROR(O329/M329,""))</f>
        <v/>
      </c>
      <c r="Q329" s="25">
        <f>IF(G329="","",IF(G329=1,"1°","2°"))</f>
        <v/>
      </c>
      <c r="R329" s="25">
        <f>IF(B329="","",TEXT(B329,"mmm-yyyy"))</f>
        <v/>
      </c>
    </row>
    <row r="330" ht="15.75" customHeight="1" s="54">
      <c r="C330" s="50" t="n"/>
      <c r="D330" s="50" t="n"/>
      <c r="E330" s="50" t="n"/>
      <c r="F330" s="50" t="n"/>
      <c r="G330" s="50" t="n"/>
      <c r="H330" s="50" t="n"/>
      <c r="J330" s="50" t="n"/>
      <c r="L330" s="25">
        <f>IF(D330="","",IF(H330="W",1,IF(H330="L",0,"")))</f>
        <v/>
      </c>
      <c r="M330" s="25">
        <f>IF(D330="","",COUNTIFS($D$2:D330,D330))</f>
        <v/>
      </c>
      <c r="N330" s="25">
        <f>IF(D330="","",D330&amp;"|"&amp;M330)</f>
        <v/>
      </c>
      <c r="O330" s="25">
        <f>IF(D330="","",COUNTIFS($D$2:D330,D330,$H$2:H330,"W"))</f>
        <v/>
      </c>
      <c r="P330" s="26">
        <f>IF(D330="","",IFERROR(O330/M330,""))</f>
        <v/>
      </c>
      <c r="Q330" s="25">
        <f>IF(G330="","",IF(G330=1,"1°","2°"))</f>
        <v/>
      </c>
      <c r="R330" s="25">
        <f>IF(B330="","",TEXT(B330,"mmm-yyyy"))</f>
        <v/>
      </c>
    </row>
    <row r="331" ht="15.75" customHeight="1" s="54">
      <c r="C331" s="50" t="n"/>
      <c r="D331" s="50" t="n"/>
      <c r="E331" s="50" t="n"/>
      <c r="F331" s="50" t="n"/>
      <c r="G331" s="50" t="n"/>
      <c r="H331" s="50" t="n"/>
      <c r="J331" s="50" t="n"/>
      <c r="L331" s="25">
        <f>IF(D331="","",IF(H331="W",1,IF(H331="L",0,"")))</f>
        <v/>
      </c>
      <c r="M331" s="25">
        <f>IF(D331="","",COUNTIFS($D$2:D331,D331))</f>
        <v/>
      </c>
      <c r="N331" s="25">
        <f>IF(D331="","",D331&amp;"|"&amp;M331)</f>
        <v/>
      </c>
      <c r="O331" s="25">
        <f>IF(D331="","",COUNTIFS($D$2:D331,D331,$H$2:H331,"W"))</f>
        <v/>
      </c>
      <c r="P331" s="26">
        <f>IF(D331="","",IFERROR(O331/M331,""))</f>
        <v/>
      </c>
      <c r="Q331" s="25">
        <f>IF(G331="","",IF(G331=1,"1°","2°"))</f>
        <v/>
      </c>
      <c r="R331" s="25">
        <f>IF(B331="","",TEXT(B331,"mmm-yyyy"))</f>
        <v/>
      </c>
    </row>
    <row r="332" ht="15.75" customHeight="1" s="54">
      <c r="C332" s="50" t="n"/>
      <c r="D332" s="50" t="n"/>
      <c r="E332" s="50" t="n"/>
      <c r="F332" s="50" t="n"/>
      <c r="G332" s="50" t="n"/>
      <c r="H332" s="50" t="n"/>
      <c r="J332" s="50" t="n"/>
      <c r="L332" s="25">
        <f>IF(D332="","",IF(H332="W",1,IF(H332="L",0,"")))</f>
        <v/>
      </c>
      <c r="M332" s="25">
        <f>IF(D332="","",COUNTIFS($D$2:D332,D332))</f>
        <v/>
      </c>
      <c r="N332" s="25">
        <f>IF(D332="","",D332&amp;"|"&amp;M332)</f>
        <v/>
      </c>
      <c r="O332" s="25">
        <f>IF(D332="","",COUNTIFS($D$2:D332,D332,$H$2:H332,"W"))</f>
        <v/>
      </c>
      <c r="P332" s="26">
        <f>IF(D332="","",IFERROR(O332/M332,""))</f>
        <v/>
      </c>
      <c r="Q332" s="25">
        <f>IF(G332="","",IF(G332=1,"1°","2°"))</f>
        <v/>
      </c>
      <c r="R332" s="25">
        <f>IF(B332="","",TEXT(B332,"mmm-yyyy"))</f>
        <v/>
      </c>
    </row>
    <row r="333" ht="15.75" customHeight="1" s="54">
      <c r="C333" s="50" t="n"/>
      <c r="D333" s="50" t="n"/>
      <c r="E333" s="50" t="n"/>
      <c r="F333" s="50" t="n"/>
      <c r="G333" s="50" t="n"/>
      <c r="H333" s="50" t="n"/>
      <c r="J333" s="50" t="n"/>
      <c r="L333" s="25">
        <f>IF(D333="","",IF(H333="W",1,IF(H333="L",0,"")))</f>
        <v/>
      </c>
      <c r="M333" s="25">
        <f>IF(D333="","",COUNTIFS($D$2:D333,D333))</f>
        <v/>
      </c>
      <c r="N333" s="25">
        <f>IF(D333="","",D333&amp;"|"&amp;M333)</f>
        <v/>
      </c>
      <c r="O333" s="25">
        <f>IF(D333="","",COUNTIFS($D$2:D333,D333,$H$2:H333,"W"))</f>
        <v/>
      </c>
      <c r="P333" s="26">
        <f>IF(D333="","",IFERROR(O333/M333,""))</f>
        <v/>
      </c>
      <c r="Q333" s="25">
        <f>IF(G333="","",IF(G333=1,"1°","2°"))</f>
        <v/>
      </c>
      <c r="R333" s="25">
        <f>IF(B333="","",TEXT(B333,"mmm-yyyy"))</f>
        <v/>
      </c>
    </row>
    <row r="334" ht="15.75" customHeight="1" s="54">
      <c r="C334" s="50" t="n"/>
      <c r="D334" s="50" t="n"/>
      <c r="E334" s="50" t="n"/>
      <c r="F334" s="50" t="n"/>
      <c r="G334" s="50" t="n"/>
      <c r="H334" s="50" t="n"/>
      <c r="J334" s="50" t="n"/>
      <c r="L334" s="25">
        <f>IF(D334="","",IF(H334="W",1,IF(H334="L",0,"")))</f>
        <v/>
      </c>
      <c r="M334" s="25">
        <f>IF(D334="","",COUNTIFS($D$2:D334,D334))</f>
        <v/>
      </c>
      <c r="N334" s="25">
        <f>IF(D334="","",D334&amp;"|"&amp;M334)</f>
        <v/>
      </c>
      <c r="O334" s="25">
        <f>IF(D334="","",COUNTIFS($D$2:D334,D334,$H$2:H334,"W"))</f>
        <v/>
      </c>
      <c r="P334" s="26">
        <f>IF(D334="","",IFERROR(O334/M334,""))</f>
        <v/>
      </c>
      <c r="Q334" s="25">
        <f>IF(G334="","",IF(G334=1,"1°","2°"))</f>
        <v/>
      </c>
      <c r="R334" s="25">
        <f>IF(B334="","",TEXT(B334,"mmm-yyyy"))</f>
        <v/>
      </c>
    </row>
    <row r="335" ht="15.75" customHeight="1" s="54">
      <c r="C335" s="50" t="n"/>
      <c r="D335" s="50" t="n"/>
      <c r="E335" s="50" t="n"/>
      <c r="F335" s="50" t="n"/>
      <c r="G335" s="50" t="n"/>
      <c r="H335" s="50" t="n"/>
      <c r="J335" s="50" t="n"/>
      <c r="L335" s="25">
        <f>IF(D335="","",IF(H335="W",1,IF(H335="L",0,"")))</f>
        <v/>
      </c>
      <c r="M335" s="25">
        <f>IF(D335="","",COUNTIFS($D$2:D335,D335))</f>
        <v/>
      </c>
      <c r="N335" s="25">
        <f>IF(D335="","",D335&amp;"|"&amp;M335)</f>
        <v/>
      </c>
      <c r="O335" s="25">
        <f>IF(D335="","",COUNTIFS($D$2:D335,D335,$H$2:H335,"W"))</f>
        <v/>
      </c>
      <c r="P335" s="26">
        <f>IF(D335="","",IFERROR(O335/M335,""))</f>
        <v/>
      </c>
      <c r="Q335" s="25">
        <f>IF(G335="","",IF(G335=1,"1°","2°"))</f>
        <v/>
      </c>
      <c r="R335" s="25">
        <f>IF(B335="","",TEXT(B335,"mmm-yyyy"))</f>
        <v/>
      </c>
    </row>
    <row r="336" ht="15.75" customHeight="1" s="54">
      <c r="C336" s="50" t="n"/>
      <c r="D336" s="50" t="n"/>
      <c r="E336" s="50" t="n"/>
      <c r="F336" s="50" t="n"/>
      <c r="G336" s="50" t="n"/>
      <c r="H336" s="50" t="n"/>
      <c r="J336" s="50" t="n"/>
      <c r="L336" s="25">
        <f>IF(D336="","",IF(H336="W",1,IF(H336="L",0,"")))</f>
        <v/>
      </c>
      <c r="M336" s="25">
        <f>IF(D336="","",COUNTIFS($D$2:D336,D336))</f>
        <v/>
      </c>
      <c r="N336" s="25">
        <f>IF(D336="","",D336&amp;"|"&amp;M336)</f>
        <v/>
      </c>
      <c r="O336" s="25">
        <f>IF(D336="","",COUNTIFS($D$2:D336,D336,$H$2:H336,"W"))</f>
        <v/>
      </c>
      <c r="P336" s="26">
        <f>IF(D336="","",IFERROR(O336/M336,""))</f>
        <v/>
      </c>
      <c r="Q336" s="25">
        <f>IF(G336="","",IF(G336=1,"1°","2°"))</f>
        <v/>
      </c>
      <c r="R336" s="25">
        <f>IF(B336="","",TEXT(B336,"mmm-yyyy"))</f>
        <v/>
      </c>
    </row>
    <row r="337" ht="15.75" customHeight="1" s="54">
      <c r="C337" s="50" t="n"/>
      <c r="D337" s="50" t="n"/>
      <c r="E337" s="50" t="n"/>
      <c r="F337" s="50" t="n"/>
      <c r="G337" s="50" t="n"/>
      <c r="H337" s="50" t="n"/>
      <c r="J337" s="50" t="n"/>
      <c r="L337" s="25">
        <f>IF(D337="","",IF(H337="W",1,IF(H337="L",0,"")))</f>
        <v/>
      </c>
      <c r="M337" s="25">
        <f>IF(D337="","",COUNTIFS($D$2:D337,D337))</f>
        <v/>
      </c>
      <c r="N337" s="25">
        <f>IF(D337="","",D337&amp;"|"&amp;M337)</f>
        <v/>
      </c>
      <c r="O337" s="25">
        <f>IF(D337="","",COUNTIFS($D$2:D337,D337,$H$2:H337,"W"))</f>
        <v/>
      </c>
      <c r="P337" s="26">
        <f>IF(D337="","",IFERROR(O337/M337,""))</f>
        <v/>
      </c>
      <c r="Q337" s="25">
        <f>IF(G337="","",IF(G337=1,"1°","2°"))</f>
        <v/>
      </c>
      <c r="R337" s="25">
        <f>IF(B337="","",TEXT(B337,"mmm-yyyy"))</f>
        <v/>
      </c>
    </row>
    <row r="338" ht="15.75" customHeight="1" s="54">
      <c r="C338" s="50" t="n"/>
      <c r="D338" s="50" t="n"/>
      <c r="E338" s="50" t="n"/>
      <c r="F338" s="50" t="n"/>
      <c r="G338" s="50" t="n"/>
      <c r="H338" s="50" t="n"/>
      <c r="J338" s="50" t="n"/>
      <c r="L338" s="25">
        <f>IF(D338="","",IF(H338="W",1,IF(H338="L",0,"")))</f>
        <v/>
      </c>
      <c r="M338" s="25">
        <f>IF(D338="","",COUNTIFS($D$2:D338,D338))</f>
        <v/>
      </c>
      <c r="N338" s="25">
        <f>IF(D338="","",D338&amp;"|"&amp;M338)</f>
        <v/>
      </c>
      <c r="O338" s="25">
        <f>IF(D338="","",COUNTIFS($D$2:D338,D338,$H$2:H338,"W"))</f>
        <v/>
      </c>
      <c r="P338" s="26">
        <f>IF(D338="","",IFERROR(O338/M338,""))</f>
        <v/>
      </c>
      <c r="Q338" s="25">
        <f>IF(G338="","",IF(G338=1,"1°","2°"))</f>
        <v/>
      </c>
      <c r="R338" s="25">
        <f>IF(B338="","",TEXT(B338,"mmm-yyyy"))</f>
        <v/>
      </c>
    </row>
    <row r="339" ht="15.75" customHeight="1" s="54">
      <c r="C339" s="50" t="n"/>
      <c r="D339" s="50" t="n"/>
      <c r="E339" s="50" t="n"/>
      <c r="F339" s="50" t="n"/>
      <c r="G339" s="50" t="n"/>
      <c r="H339" s="50" t="n"/>
      <c r="J339" s="50" t="n"/>
      <c r="L339" s="25">
        <f>IF(D339="","",IF(H339="W",1,IF(H339="L",0,"")))</f>
        <v/>
      </c>
      <c r="M339" s="25">
        <f>IF(D339="","",COUNTIFS($D$2:D339,D339))</f>
        <v/>
      </c>
      <c r="N339" s="25">
        <f>IF(D339="","",D339&amp;"|"&amp;M339)</f>
        <v/>
      </c>
      <c r="O339" s="25">
        <f>IF(D339="","",COUNTIFS($D$2:D339,D339,$H$2:H339,"W"))</f>
        <v/>
      </c>
      <c r="P339" s="26">
        <f>IF(D339="","",IFERROR(O339/M339,""))</f>
        <v/>
      </c>
      <c r="Q339" s="25">
        <f>IF(G339="","",IF(G339=1,"1°","2°"))</f>
        <v/>
      </c>
      <c r="R339" s="25">
        <f>IF(B339="","",TEXT(B339,"mmm-yyyy"))</f>
        <v/>
      </c>
    </row>
    <row r="340" ht="15.75" customHeight="1" s="54">
      <c r="C340" s="50" t="n"/>
      <c r="D340" s="50" t="n"/>
      <c r="E340" s="50" t="n"/>
      <c r="F340" s="50" t="n"/>
      <c r="G340" s="50" t="n"/>
      <c r="H340" s="50" t="n"/>
      <c r="J340" s="50" t="n"/>
      <c r="L340" s="25">
        <f>IF(D340="","",IF(H340="W",1,IF(H340="L",0,"")))</f>
        <v/>
      </c>
      <c r="M340" s="25">
        <f>IF(D340="","",COUNTIFS($D$2:D340,D340))</f>
        <v/>
      </c>
      <c r="N340" s="25">
        <f>IF(D340="","",D340&amp;"|"&amp;M340)</f>
        <v/>
      </c>
      <c r="O340" s="25">
        <f>IF(D340="","",COUNTIFS($D$2:D340,D340,$H$2:H340,"W"))</f>
        <v/>
      </c>
      <c r="P340" s="26">
        <f>IF(D340="","",IFERROR(O340/M340,""))</f>
        <v/>
      </c>
      <c r="Q340" s="25">
        <f>IF(G340="","",IF(G340=1,"1°","2°"))</f>
        <v/>
      </c>
      <c r="R340" s="25">
        <f>IF(B340="","",TEXT(B340,"mmm-yyyy"))</f>
        <v/>
      </c>
    </row>
    <row r="341" ht="15.75" customHeight="1" s="54">
      <c r="C341" s="50" t="n"/>
      <c r="D341" s="50" t="n"/>
      <c r="E341" s="50" t="n"/>
      <c r="F341" s="50" t="n"/>
      <c r="G341" s="50" t="n"/>
      <c r="H341" s="50" t="n"/>
      <c r="J341" s="50" t="n"/>
      <c r="L341" s="25">
        <f>IF(D341="","",IF(H341="W",1,IF(H341="L",0,"")))</f>
        <v/>
      </c>
      <c r="M341" s="25">
        <f>IF(D341="","",COUNTIFS($D$2:D341,D341))</f>
        <v/>
      </c>
      <c r="N341" s="25">
        <f>IF(D341="","",D341&amp;"|"&amp;M341)</f>
        <v/>
      </c>
      <c r="O341" s="25">
        <f>IF(D341="","",COUNTIFS($D$2:D341,D341,$H$2:H341,"W"))</f>
        <v/>
      </c>
      <c r="P341" s="26">
        <f>IF(D341="","",IFERROR(O341/M341,""))</f>
        <v/>
      </c>
      <c r="Q341" s="25">
        <f>IF(G341="","",IF(G341=1,"1°","2°"))</f>
        <v/>
      </c>
      <c r="R341" s="25">
        <f>IF(B341="","",TEXT(B341,"mmm-yyyy"))</f>
        <v/>
      </c>
    </row>
    <row r="342" ht="15.75" customHeight="1" s="54">
      <c r="C342" s="50" t="n"/>
      <c r="D342" s="50" t="n"/>
      <c r="E342" s="50" t="n"/>
      <c r="F342" s="50" t="n"/>
      <c r="G342" s="50" t="n"/>
      <c r="H342" s="50" t="n"/>
      <c r="J342" s="50" t="n"/>
      <c r="L342" s="25">
        <f>IF(D342="","",IF(H342="W",1,IF(H342="L",0,"")))</f>
        <v/>
      </c>
      <c r="M342" s="25">
        <f>IF(D342="","",COUNTIFS($D$2:D342,D342))</f>
        <v/>
      </c>
      <c r="N342" s="25">
        <f>IF(D342="","",D342&amp;"|"&amp;M342)</f>
        <v/>
      </c>
      <c r="O342" s="25">
        <f>IF(D342="","",COUNTIFS($D$2:D342,D342,$H$2:H342,"W"))</f>
        <v/>
      </c>
      <c r="P342" s="26">
        <f>IF(D342="","",IFERROR(O342/M342,""))</f>
        <v/>
      </c>
      <c r="Q342" s="25">
        <f>IF(G342="","",IF(G342=1,"1°","2°"))</f>
        <v/>
      </c>
      <c r="R342" s="25">
        <f>IF(B342="","",TEXT(B342,"mmm-yyyy"))</f>
        <v/>
      </c>
    </row>
    <row r="343" ht="15.75" customHeight="1" s="54">
      <c r="C343" s="50" t="n"/>
      <c r="D343" s="50" t="n"/>
      <c r="E343" s="50" t="n"/>
      <c r="F343" s="50" t="n"/>
      <c r="G343" s="50" t="n"/>
      <c r="H343" s="50" t="n"/>
      <c r="J343" s="50" t="n"/>
      <c r="L343" s="25">
        <f>IF(D343="","",IF(H343="W",1,IF(H343="L",0,"")))</f>
        <v/>
      </c>
      <c r="M343" s="25">
        <f>IF(D343="","",COUNTIFS($D$2:D343,D343))</f>
        <v/>
      </c>
      <c r="N343" s="25">
        <f>IF(D343="","",D343&amp;"|"&amp;M343)</f>
        <v/>
      </c>
      <c r="O343" s="25">
        <f>IF(D343="","",COUNTIFS($D$2:D343,D343,$H$2:H343,"W"))</f>
        <v/>
      </c>
      <c r="P343" s="26">
        <f>IF(D343="","",IFERROR(O343/M343,""))</f>
        <v/>
      </c>
      <c r="Q343" s="25">
        <f>IF(G343="","",IF(G343=1,"1°","2°"))</f>
        <v/>
      </c>
      <c r="R343" s="25">
        <f>IF(B343="","",TEXT(B343,"mmm-yyyy"))</f>
        <v/>
      </c>
    </row>
    <row r="344" ht="15.75" customHeight="1" s="54">
      <c r="C344" s="50" t="n"/>
      <c r="D344" s="50" t="n"/>
      <c r="E344" s="50" t="n"/>
      <c r="F344" s="50" t="n"/>
      <c r="G344" s="50" t="n"/>
      <c r="H344" s="50" t="n"/>
      <c r="J344" s="50" t="n"/>
      <c r="L344" s="25">
        <f>IF(D344="","",IF(H344="W",1,IF(H344="L",0,"")))</f>
        <v/>
      </c>
      <c r="M344" s="25">
        <f>IF(D344="","",COUNTIFS($D$2:D344,D344))</f>
        <v/>
      </c>
      <c r="N344" s="25">
        <f>IF(D344="","",D344&amp;"|"&amp;M344)</f>
        <v/>
      </c>
      <c r="O344" s="25">
        <f>IF(D344="","",COUNTIFS($D$2:D344,D344,$H$2:H344,"W"))</f>
        <v/>
      </c>
      <c r="P344" s="26">
        <f>IF(D344="","",IFERROR(O344/M344,""))</f>
        <v/>
      </c>
      <c r="Q344" s="25">
        <f>IF(G344="","",IF(G344=1,"1°","2°"))</f>
        <v/>
      </c>
      <c r="R344" s="25">
        <f>IF(B344="","",TEXT(B344,"mmm-yyyy"))</f>
        <v/>
      </c>
    </row>
    <row r="345" ht="15.75" customHeight="1" s="54">
      <c r="C345" s="50" t="n"/>
      <c r="D345" s="50" t="n"/>
      <c r="E345" s="50" t="n"/>
      <c r="F345" s="50" t="n"/>
      <c r="G345" s="50" t="n"/>
      <c r="H345" s="50" t="n"/>
      <c r="J345" s="50" t="n"/>
      <c r="L345" s="25">
        <f>IF(D345="","",IF(H345="W",1,IF(H345="L",0,"")))</f>
        <v/>
      </c>
      <c r="M345" s="25">
        <f>IF(D345="","",COUNTIFS($D$2:D345,D345))</f>
        <v/>
      </c>
      <c r="N345" s="25">
        <f>IF(D345="","",D345&amp;"|"&amp;M345)</f>
        <v/>
      </c>
      <c r="O345" s="25">
        <f>IF(D345="","",COUNTIFS($D$2:D345,D345,$H$2:H345,"W"))</f>
        <v/>
      </c>
      <c r="P345" s="26">
        <f>IF(D345="","",IFERROR(O345/M345,""))</f>
        <v/>
      </c>
      <c r="Q345" s="25">
        <f>IF(G345="","",IF(G345=1,"1°","2°"))</f>
        <v/>
      </c>
      <c r="R345" s="25">
        <f>IF(B345="","",TEXT(B345,"mmm-yyyy"))</f>
        <v/>
      </c>
    </row>
    <row r="346" ht="15.75" customHeight="1" s="54">
      <c r="C346" s="50" t="n"/>
      <c r="D346" s="50" t="n"/>
      <c r="E346" s="50" t="n"/>
      <c r="F346" s="50" t="n"/>
      <c r="G346" s="50" t="n"/>
      <c r="H346" s="50" t="n"/>
      <c r="J346" s="50" t="n"/>
      <c r="L346" s="25">
        <f>IF(D346="","",IF(H346="W",1,IF(H346="L",0,"")))</f>
        <v/>
      </c>
      <c r="M346" s="25">
        <f>IF(D346="","",COUNTIFS($D$2:D346,D346))</f>
        <v/>
      </c>
      <c r="N346" s="25">
        <f>IF(D346="","",D346&amp;"|"&amp;M346)</f>
        <v/>
      </c>
      <c r="O346" s="25">
        <f>IF(D346="","",COUNTIFS($D$2:D346,D346,$H$2:H346,"W"))</f>
        <v/>
      </c>
      <c r="P346" s="26">
        <f>IF(D346="","",IFERROR(O346/M346,""))</f>
        <v/>
      </c>
      <c r="Q346" s="25">
        <f>IF(G346="","",IF(G346=1,"1°","2°"))</f>
        <v/>
      </c>
      <c r="R346" s="25">
        <f>IF(B346="","",TEXT(B346,"mmm-yyyy"))</f>
        <v/>
      </c>
    </row>
    <row r="347" ht="15.75" customHeight="1" s="54">
      <c r="C347" s="50" t="n"/>
      <c r="D347" s="50" t="n"/>
      <c r="E347" s="50" t="n"/>
      <c r="F347" s="50" t="n"/>
      <c r="G347" s="50" t="n"/>
      <c r="H347" s="50" t="n"/>
      <c r="J347" s="50" t="n"/>
      <c r="L347" s="25">
        <f>IF(D347="","",IF(H347="W",1,IF(H347="L",0,"")))</f>
        <v/>
      </c>
      <c r="M347" s="25">
        <f>IF(D347="","",COUNTIFS($D$2:D347,D347))</f>
        <v/>
      </c>
      <c r="N347" s="25">
        <f>IF(D347="","",D347&amp;"|"&amp;M347)</f>
        <v/>
      </c>
      <c r="O347" s="25">
        <f>IF(D347="","",COUNTIFS($D$2:D347,D347,$H$2:H347,"W"))</f>
        <v/>
      </c>
      <c r="P347" s="26">
        <f>IF(D347="","",IFERROR(O347/M347,""))</f>
        <v/>
      </c>
      <c r="Q347" s="25">
        <f>IF(G347="","",IF(G347=1,"1°","2°"))</f>
        <v/>
      </c>
      <c r="R347" s="25">
        <f>IF(B347="","",TEXT(B347,"mmm-yyyy"))</f>
        <v/>
      </c>
    </row>
    <row r="348" ht="15.75" customHeight="1" s="54">
      <c r="C348" s="50" t="n"/>
      <c r="D348" s="50" t="n"/>
      <c r="E348" s="50" t="n"/>
      <c r="F348" s="50" t="n"/>
      <c r="G348" s="50" t="n"/>
      <c r="H348" s="50" t="n"/>
      <c r="J348" s="50" t="n"/>
      <c r="L348" s="25">
        <f>IF(D348="","",IF(H348="W",1,IF(H348="L",0,"")))</f>
        <v/>
      </c>
      <c r="M348" s="25">
        <f>IF(D348="","",COUNTIFS($D$2:D348,D348))</f>
        <v/>
      </c>
      <c r="N348" s="25">
        <f>IF(D348="","",D348&amp;"|"&amp;M348)</f>
        <v/>
      </c>
      <c r="O348" s="25">
        <f>IF(D348="","",COUNTIFS($D$2:D348,D348,$H$2:H348,"W"))</f>
        <v/>
      </c>
      <c r="P348" s="26">
        <f>IF(D348="","",IFERROR(O348/M348,""))</f>
        <v/>
      </c>
      <c r="Q348" s="25">
        <f>IF(G348="","",IF(G348=1,"1°","2°"))</f>
        <v/>
      </c>
      <c r="R348" s="25">
        <f>IF(B348="","",TEXT(B348,"mmm-yyyy"))</f>
        <v/>
      </c>
    </row>
    <row r="349" ht="15.75" customHeight="1" s="54">
      <c r="C349" s="50" t="n"/>
      <c r="D349" s="50" t="n"/>
      <c r="E349" s="50" t="n"/>
      <c r="F349" s="50" t="n"/>
      <c r="G349" s="50" t="n"/>
      <c r="H349" s="50" t="n"/>
      <c r="J349" s="50" t="n"/>
      <c r="L349" s="25">
        <f>IF(D349="","",IF(H349="W",1,IF(H349="L",0,"")))</f>
        <v/>
      </c>
      <c r="M349" s="25">
        <f>IF(D349="","",COUNTIFS($D$2:D349,D349))</f>
        <v/>
      </c>
      <c r="N349" s="25">
        <f>IF(D349="","",D349&amp;"|"&amp;M349)</f>
        <v/>
      </c>
      <c r="O349" s="25">
        <f>IF(D349="","",COUNTIFS($D$2:D349,D349,$H$2:H349,"W"))</f>
        <v/>
      </c>
      <c r="P349" s="26">
        <f>IF(D349="","",IFERROR(O349/M349,""))</f>
        <v/>
      </c>
      <c r="Q349" s="25">
        <f>IF(G349="","",IF(G349=1,"1°","2°"))</f>
        <v/>
      </c>
      <c r="R349" s="25">
        <f>IF(B349="","",TEXT(B349,"mmm-yyyy"))</f>
        <v/>
      </c>
    </row>
    <row r="350" ht="15.75" customHeight="1" s="54">
      <c r="C350" s="50" t="n"/>
      <c r="D350" s="50" t="n"/>
      <c r="E350" s="50" t="n"/>
      <c r="F350" s="50" t="n"/>
      <c r="G350" s="50" t="n"/>
      <c r="H350" s="50" t="n"/>
      <c r="J350" s="50" t="n"/>
      <c r="L350" s="25">
        <f>IF(D350="","",IF(H350="W",1,IF(H350="L",0,"")))</f>
        <v/>
      </c>
      <c r="M350" s="25">
        <f>IF(D350="","",COUNTIFS($D$2:D350,D350))</f>
        <v/>
      </c>
      <c r="N350" s="25">
        <f>IF(D350="","",D350&amp;"|"&amp;M350)</f>
        <v/>
      </c>
      <c r="O350" s="25">
        <f>IF(D350="","",COUNTIFS($D$2:D350,D350,$H$2:H350,"W"))</f>
        <v/>
      </c>
      <c r="P350" s="26">
        <f>IF(D350="","",IFERROR(O350/M350,""))</f>
        <v/>
      </c>
      <c r="Q350" s="25">
        <f>IF(G350="","",IF(G350=1,"1°","2°"))</f>
        <v/>
      </c>
      <c r="R350" s="25">
        <f>IF(B350="","",TEXT(B350,"mmm-yyyy"))</f>
        <v/>
      </c>
    </row>
    <row r="351" ht="15.75" customHeight="1" s="54">
      <c r="C351" s="50" t="n"/>
      <c r="D351" s="50" t="n"/>
      <c r="E351" s="50" t="n"/>
      <c r="F351" s="50" t="n"/>
      <c r="G351" s="50" t="n"/>
      <c r="H351" s="50" t="n"/>
      <c r="J351" s="50" t="n"/>
      <c r="L351" s="25">
        <f>IF(D351="","",IF(H351="W",1,IF(H351="L",0,"")))</f>
        <v/>
      </c>
      <c r="M351" s="25">
        <f>IF(D351="","",COUNTIFS($D$2:D351,D351))</f>
        <v/>
      </c>
      <c r="N351" s="25">
        <f>IF(D351="","",D351&amp;"|"&amp;M351)</f>
        <v/>
      </c>
      <c r="O351" s="25">
        <f>IF(D351="","",COUNTIFS($D$2:D351,D351,$H$2:H351,"W"))</f>
        <v/>
      </c>
      <c r="P351" s="26">
        <f>IF(D351="","",IFERROR(O351/M351,""))</f>
        <v/>
      </c>
      <c r="Q351" s="25">
        <f>IF(G351="","",IF(G351=1,"1°","2°"))</f>
        <v/>
      </c>
      <c r="R351" s="25">
        <f>IF(B351="","",TEXT(B351,"mmm-yyyy"))</f>
        <v/>
      </c>
    </row>
    <row r="352" ht="15.75" customHeight="1" s="54">
      <c r="C352" s="50" t="n"/>
      <c r="D352" s="50" t="n"/>
      <c r="E352" s="50" t="n"/>
      <c r="F352" s="50" t="n"/>
      <c r="G352" s="50" t="n"/>
      <c r="H352" s="50" t="n"/>
      <c r="J352" s="50" t="n"/>
      <c r="L352" s="25">
        <f>IF(D352="","",IF(H352="W",1,IF(H352="L",0,"")))</f>
        <v/>
      </c>
      <c r="M352" s="25">
        <f>IF(D352="","",COUNTIFS($D$2:D352,D352))</f>
        <v/>
      </c>
      <c r="N352" s="25">
        <f>IF(D352="","",D352&amp;"|"&amp;M352)</f>
        <v/>
      </c>
      <c r="O352" s="25">
        <f>IF(D352="","",COUNTIFS($D$2:D352,D352,$H$2:H352,"W"))</f>
        <v/>
      </c>
      <c r="P352" s="26">
        <f>IF(D352="","",IFERROR(O352/M352,""))</f>
        <v/>
      </c>
      <c r="Q352" s="25">
        <f>IF(G352="","",IF(G352=1,"1°","2°"))</f>
        <v/>
      </c>
      <c r="R352" s="25">
        <f>IF(B352="","",TEXT(B352,"mmm-yyyy"))</f>
        <v/>
      </c>
    </row>
    <row r="353" ht="15.75" customHeight="1" s="54">
      <c r="C353" s="50" t="n"/>
      <c r="D353" s="50" t="n"/>
      <c r="E353" s="50" t="n"/>
      <c r="F353" s="50" t="n"/>
      <c r="G353" s="50" t="n"/>
      <c r="H353" s="50" t="n"/>
      <c r="J353" s="50" t="n"/>
      <c r="L353" s="25">
        <f>IF(D353="","",IF(H353="W",1,IF(H353="L",0,"")))</f>
        <v/>
      </c>
      <c r="M353" s="25">
        <f>IF(D353="","",COUNTIFS($D$2:D353,D353))</f>
        <v/>
      </c>
      <c r="N353" s="25">
        <f>IF(D353="","",D353&amp;"|"&amp;M353)</f>
        <v/>
      </c>
      <c r="O353" s="25">
        <f>IF(D353="","",COUNTIFS($D$2:D353,D353,$H$2:H353,"W"))</f>
        <v/>
      </c>
      <c r="P353" s="26">
        <f>IF(D353="","",IFERROR(O353/M353,""))</f>
        <v/>
      </c>
      <c r="Q353" s="25">
        <f>IF(G353="","",IF(G353=1,"1°","2°"))</f>
        <v/>
      </c>
      <c r="R353" s="25">
        <f>IF(B353="","",TEXT(B353,"mmm-yyyy"))</f>
        <v/>
      </c>
    </row>
    <row r="354" ht="15.75" customHeight="1" s="54">
      <c r="C354" s="50" t="n"/>
      <c r="D354" s="50" t="n"/>
      <c r="E354" s="50" t="n"/>
      <c r="F354" s="50" t="n"/>
      <c r="G354" s="50" t="n"/>
      <c r="H354" s="50" t="n"/>
      <c r="J354" s="50" t="n"/>
      <c r="L354" s="25">
        <f>IF(D354="","",IF(H354="W",1,IF(H354="L",0,"")))</f>
        <v/>
      </c>
      <c r="M354" s="25">
        <f>IF(D354="","",COUNTIFS($D$2:D354,D354))</f>
        <v/>
      </c>
      <c r="N354" s="25">
        <f>IF(D354="","",D354&amp;"|"&amp;M354)</f>
        <v/>
      </c>
      <c r="O354" s="25">
        <f>IF(D354="","",COUNTIFS($D$2:D354,D354,$H$2:H354,"W"))</f>
        <v/>
      </c>
      <c r="P354" s="26">
        <f>IF(D354="","",IFERROR(O354/M354,""))</f>
        <v/>
      </c>
      <c r="Q354" s="25">
        <f>IF(G354="","",IF(G354=1,"1°","2°"))</f>
        <v/>
      </c>
      <c r="R354" s="25">
        <f>IF(B354="","",TEXT(B354,"mmm-yyyy"))</f>
        <v/>
      </c>
    </row>
    <row r="355" ht="15.75" customHeight="1" s="54">
      <c r="C355" s="50" t="n"/>
      <c r="D355" s="50" t="n"/>
      <c r="E355" s="50" t="n"/>
      <c r="F355" s="50" t="n"/>
      <c r="G355" s="50" t="n"/>
      <c r="H355" s="50" t="n"/>
      <c r="J355" s="50" t="n"/>
      <c r="L355" s="25">
        <f>IF(D355="","",IF(H355="W",1,IF(H355="L",0,"")))</f>
        <v/>
      </c>
      <c r="M355" s="25">
        <f>IF(D355="","",COUNTIFS($D$2:D355,D355))</f>
        <v/>
      </c>
      <c r="N355" s="25">
        <f>IF(D355="","",D355&amp;"|"&amp;M355)</f>
        <v/>
      </c>
      <c r="O355" s="25">
        <f>IF(D355="","",COUNTIFS($D$2:D355,D355,$H$2:H355,"W"))</f>
        <v/>
      </c>
      <c r="P355" s="26">
        <f>IF(D355="","",IFERROR(O355/M355,""))</f>
        <v/>
      </c>
      <c r="Q355" s="25">
        <f>IF(G355="","",IF(G355=1,"1°","2°"))</f>
        <v/>
      </c>
      <c r="R355" s="25">
        <f>IF(B355="","",TEXT(B355,"mmm-yyyy"))</f>
        <v/>
      </c>
    </row>
    <row r="356" ht="15.75" customHeight="1" s="54">
      <c r="C356" s="50" t="n"/>
      <c r="D356" s="50" t="n"/>
      <c r="E356" s="50" t="n"/>
      <c r="F356" s="50" t="n"/>
      <c r="G356" s="50" t="n"/>
      <c r="H356" s="50" t="n"/>
      <c r="J356" s="50" t="n"/>
      <c r="L356" s="25">
        <f>IF(D356="","",IF(H356="W",1,IF(H356="L",0,"")))</f>
        <v/>
      </c>
      <c r="M356" s="25">
        <f>IF(D356="","",COUNTIFS($D$2:D356,D356))</f>
        <v/>
      </c>
      <c r="N356" s="25">
        <f>IF(D356="","",D356&amp;"|"&amp;M356)</f>
        <v/>
      </c>
      <c r="O356" s="25">
        <f>IF(D356="","",COUNTIFS($D$2:D356,D356,$H$2:H356,"W"))</f>
        <v/>
      </c>
      <c r="P356" s="26">
        <f>IF(D356="","",IFERROR(O356/M356,""))</f>
        <v/>
      </c>
      <c r="Q356" s="25">
        <f>IF(G356="","",IF(G356=1,"1°","2°"))</f>
        <v/>
      </c>
      <c r="R356" s="25">
        <f>IF(B356="","",TEXT(B356,"mmm-yyyy"))</f>
        <v/>
      </c>
    </row>
    <row r="357" ht="15.75" customHeight="1" s="54">
      <c r="C357" s="50" t="n"/>
      <c r="D357" s="50" t="n"/>
      <c r="E357" s="50" t="n"/>
      <c r="F357" s="50" t="n"/>
      <c r="G357" s="50" t="n"/>
      <c r="H357" s="50" t="n"/>
      <c r="J357" s="50" t="n"/>
      <c r="L357" s="25">
        <f>IF(D357="","",IF(H357="W",1,IF(H357="L",0,"")))</f>
        <v/>
      </c>
      <c r="M357" s="25">
        <f>IF(D357="","",COUNTIFS($D$2:D357,D357))</f>
        <v/>
      </c>
      <c r="N357" s="25">
        <f>IF(D357="","",D357&amp;"|"&amp;M357)</f>
        <v/>
      </c>
      <c r="O357" s="25">
        <f>IF(D357="","",COUNTIFS($D$2:D357,D357,$H$2:H357,"W"))</f>
        <v/>
      </c>
      <c r="P357" s="26">
        <f>IF(D357="","",IFERROR(O357/M357,""))</f>
        <v/>
      </c>
      <c r="Q357" s="25">
        <f>IF(G357="","",IF(G357=1,"1°","2°"))</f>
        <v/>
      </c>
      <c r="R357" s="25">
        <f>IF(B357="","",TEXT(B357,"mmm-yyyy"))</f>
        <v/>
      </c>
    </row>
    <row r="358" ht="15.75" customHeight="1" s="54">
      <c r="C358" s="50" t="n"/>
      <c r="D358" s="50" t="n"/>
      <c r="E358" s="50" t="n"/>
      <c r="F358" s="50" t="n"/>
      <c r="G358" s="50" t="n"/>
      <c r="H358" s="50" t="n"/>
      <c r="J358" s="50" t="n"/>
      <c r="L358" s="25">
        <f>IF(D358="","",IF(H358="W",1,IF(H358="L",0,"")))</f>
        <v/>
      </c>
      <c r="M358" s="25">
        <f>IF(D358="","",COUNTIFS($D$2:D358,D358))</f>
        <v/>
      </c>
      <c r="N358" s="25">
        <f>IF(D358="","",D358&amp;"|"&amp;M358)</f>
        <v/>
      </c>
      <c r="O358" s="25">
        <f>IF(D358="","",COUNTIFS($D$2:D358,D358,$H$2:H358,"W"))</f>
        <v/>
      </c>
      <c r="P358" s="26">
        <f>IF(D358="","",IFERROR(O358/M358,""))</f>
        <v/>
      </c>
      <c r="Q358" s="25">
        <f>IF(G358="","",IF(G358=1,"1°","2°"))</f>
        <v/>
      </c>
      <c r="R358" s="25">
        <f>IF(B358="","",TEXT(B358,"mmm-yyyy"))</f>
        <v/>
      </c>
    </row>
    <row r="359" ht="15.75" customHeight="1" s="54">
      <c r="C359" s="50" t="n"/>
      <c r="D359" s="50" t="n"/>
      <c r="E359" s="50" t="n"/>
      <c r="F359" s="50" t="n"/>
      <c r="G359" s="50" t="n"/>
      <c r="H359" s="50" t="n"/>
      <c r="J359" s="50" t="n"/>
      <c r="L359" s="25">
        <f>IF(D359="","",IF(H359="W",1,IF(H359="L",0,"")))</f>
        <v/>
      </c>
      <c r="M359" s="25">
        <f>IF(D359="","",COUNTIFS($D$2:D359,D359))</f>
        <v/>
      </c>
      <c r="N359" s="25">
        <f>IF(D359="","",D359&amp;"|"&amp;M359)</f>
        <v/>
      </c>
      <c r="O359" s="25">
        <f>IF(D359="","",COUNTIFS($D$2:D359,D359,$H$2:H359,"W"))</f>
        <v/>
      </c>
      <c r="P359" s="26">
        <f>IF(D359="","",IFERROR(O359/M359,""))</f>
        <v/>
      </c>
      <c r="Q359" s="25">
        <f>IF(G359="","",IF(G359=1,"1°","2°"))</f>
        <v/>
      </c>
      <c r="R359" s="25">
        <f>IF(B359="","",TEXT(B359,"mmm-yyyy"))</f>
        <v/>
      </c>
    </row>
    <row r="360" ht="15.75" customHeight="1" s="54">
      <c r="C360" s="50" t="n"/>
      <c r="D360" s="50" t="n"/>
      <c r="E360" s="50" t="n"/>
      <c r="F360" s="50" t="n"/>
      <c r="G360" s="50" t="n"/>
      <c r="H360" s="50" t="n"/>
      <c r="J360" s="50" t="n"/>
      <c r="L360" s="25">
        <f>IF(D360="","",IF(H360="W",1,IF(H360="L",0,"")))</f>
        <v/>
      </c>
      <c r="M360" s="25">
        <f>IF(D360="","",COUNTIFS($D$2:D360,D360))</f>
        <v/>
      </c>
      <c r="N360" s="25">
        <f>IF(D360="","",D360&amp;"|"&amp;M360)</f>
        <v/>
      </c>
      <c r="O360" s="25">
        <f>IF(D360="","",COUNTIFS($D$2:D360,D360,$H$2:H360,"W"))</f>
        <v/>
      </c>
      <c r="P360" s="26">
        <f>IF(D360="","",IFERROR(O360/M360,""))</f>
        <v/>
      </c>
      <c r="Q360" s="25">
        <f>IF(G360="","",IF(G360=1,"1°","2°"))</f>
        <v/>
      </c>
      <c r="R360" s="25">
        <f>IF(B360="","",TEXT(B360,"mmm-yyyy"))</f>
        <v/>
      </c>
    </row>
    <row r="361" ht="15.75" customHeight="1" s="54">
      <c r="C361" s="50" t="n"/>
      <c r="D361" s="50" t="n"/>
      <c r="E361" s="50" t="n"/>
      <c r="F361" s="50" t="n"/>
      <c r="G361" s="50" t="n"/>
      <c r="H361" s="50" t="n"/>
      <c r="J361" s="50" t="n"/>
      <c r="L361" s="25">
        <f>IF(D361="","",IF(H361="W",1,IF(H361="L",0,"")))</f>
        <v/>
      </c>
      <c r="M361" s="25">
        <f>IF(D361="","",COUNTIFS($D$2:D361,D361))</f>
        <v/>
      </c>
      <c r="N361" s="25">
        <f>IF(D361="","",D361&amp;"|"&amp;M361)</f>
        <v/>
      </c>
      <c r="O361" s="25">
        <f>IF(D361="","",COUNTIFS($D$2:D361,D361,$H$2:H361,"W"))</f>
        <v/>
      </c>
      <c r="P361" s="26">
        <f>IF(D361="","",IFERROR(O361/M361,""))</f>
        <v/>
      </c>
      <c r="Q361" s="25">
        <f>IF(G361="","",IF(G361=1,"1°","2°"))</f>
        <v/>
      </c>
      <c r="R361" s="25">
        <f>IF(B361="","",TEXT(B361,"mmm-yyyy"))</f>
        <v/>
      </c>
    </row>
    <row r="362" ht="15.75" customHeight="1" s="54">
      <c r="C362" s="50" t="n"/>
      <c r="D362" s="50" t="n"/>
      <c r="E362" s="50" t="n"/>
      <c r="F362" s="50" t="n"/>
      <c r="G362" s="50" t="n"/>
      <c r="H362" s="50" t="n"/>
      <c r="J362" s="50" t="n"/>
      <c r="L362" s="25">
        <f>IF(D362="","",IF(H362="W",1,IF(H362="L",0,"")))</f>
        <v/>
      </c>
      <c r="M362" s="25">
        <f>IF(D362="","",COUNTIFS($D$2:D362,D362))</f>
        <v/>
      </c>
      <c r="N362" s="25">
        <f>IF(D362="","",D362&amp;"|"&amp;M362)</f>
        <v/>
      </c>
      <c r="O362" s="25">
        <f>IF(D362="","",COUNTIFS($D$2:D362,D362,$H$2:H362,"W"))</f>
        <v/>
      </c>
      <c r="P362" s="26">
        <f>IF(D362="","",IFERROR(O362/M362,""))</f>
        <v/>
      </c>
      <c r="Q362" s="25">
        <f>IF(G362="","",IF(G362=1,"1°","2°"))</f>
        <v/>
      </c>
      <c r="R362" s="25">
        <f>IF(B362="","",TEXT(B362,"mmm-yyyy"))</f>
        <v/>
      </c>
    </row>
    <row r="363" ht="15.75" customHeight="1" s="54">
      <c r="C363" s="50" t="n"/>
      <c r="D363" s="50" t="n"/>
      <c r="E363" s="50" t="n"/>
      <c r="F363" s="50" t="n"/>
      <c r="G363" s="50" t="n"/>
      <c r="H363" s="50" t="n"/>
      <c r="J363" s="50" t="n"/>
      <c r="L363" s="25">
        <f>IF(D363="","",IF(H363="W",1,IF(H363="L",0,"")))</f>
        <v/>
      </c>
      <c r="M363" s="25">
        <f>IF(D363="","",COUNTIFS($D$2:D363,D363))</f>
        <v/>
      </c>
      <c r="N363" s="25">
        <f>IF(D363="","",D363&amp;"|"&amp;M363)</f>
        <v/>
      </c>
      <c r="O363" s="25">
        <f>IF(D363="","",COUNTIFS($D$2:D363,D363,$H$2:H363,"W"))</f>
        <v/>
      </c>
      <c r="P363" s="26">
        <f>IF(D363="","",IFERROR(O363/M363,""))</f>
        <v/>
      </c>
      <c r="Q363" s="25">
        <f>IF(G363="","",IF(G363=1,"1°","2°"))</f>
        <v/>
      </c>
      <c r="R363" s="25">
        <f>IF(B363="","",TEXT(B363,"mmm-yyyy"))</f>
        <v/>
      </c>
    </row>
    <row r="364" ht="15.75" customHeight="1" s="54">
      <c r="C364" s="50" t="n"/>
      <c r="D364" s="50" t="n"/>
      <c r="E364" s="50" t="n"/>
      <c r="F364" s="50" t="n"/>
      <c r="G364" s="50" t="n"/>
      <c r="H364" s="50" t="n"/>
      <c r="J364" s="50" t="n"/>
      <c r="L364" s="25">
        <f>IF(D364="","",IF(H364="W",1,IF(H364="L",0,"")))</f>
        <v/>
      </c>
      <c r="M364" s="25">
        <f>IF(D364="","",COUNTIFS($D$2:D364,D364))</f>
        <v/>
      </c>
      <c r="N364" s="25">
        <f>IF(D364="","",D364&amp;"|"&amp;M364)</f>
        <v/>
      </c>
      <c r="O364" s="25">
        <f>IF(D364="","",COUNTIFS($D$2:D364,D364,$H$2:H364,"W"))</f>
        <v/>
      </c>
      <c r="P364" s="26">
        <f>IF(D364="","",IFERROR(O364/M364,""))</f>
        <v/>
      </c>
      <c r="Q364" s="25">
        <f>IF(G364="","",IF(G364=1,"1°","2°"))</f>
        <v/>
      </c>
      <c r="R364" s="25">
        <f>IF(B364="","",TEXT(B364,"mmm-yyyy"))</f>
        <v/>
      </c>
    </row>
    <row r="365" ht="15.75" customHeight="1" s="54">
      <c r="C365" s="50" t="n"/>
      <c r="D365" s="50" t="n"/>
      <c r="E365" s="50" t="n"/>
      <c r="F365" s="50" t="n"/>
      <c r="G365" s="50" t="n"/>
      <c r="H365" s="50" t="n"/>
      <c r="J365" s="50" t="n"/>
      <c r="L365" s="25">
        <f>IF(D365="","",IF(H365="W",1,IF(H365="L",0,"")))</f>
        <v/>
      </c>
      <c r="M365" s="25">
        <f>IF(D365="","",COUNTIFS($D$2:D365,D365))</f>
        <v/>
      </c>
      <c r="N365" s="25">
        <f>IF(D365="","",D365&amp;"|"&amp;M365)</f>
        <v/>
      </c>
      <c r="O365" s="25">
        <f>IF(D365="","",COUNTIFS($D$2:D365,D365,$H$2:H365,"W"))</f>
        <v/>
      </c>
      <c r="P365" s="26">
        <f>IF(D365="","",IFERROR(O365/M365,""))</f>
        <v/>
      </c>
      <c r="Q365" s="25">
        <f>IF(G365="","",IF(G365=1,"1°","2°"))</f>
        <v/>
      </c>
      <c r="R365" s="25">
        <f>IF(B365="","",TEXT(B365,"mmm-yyyy"))</f>
        <v/>
      </c>
    </row>
    <row r="366" ht="15.75" customHeight="1" s="54">
      <c r="C366" s="50" t="n"/>
      <c r="D366" s="50" t="n"/>
      <c r="E366" s="50" t="n"/>
      <c r="F366" s="50" t="n"/>
      <c r="G366" s="50" t="n"/>
      <c r="H366" s="50" t="n"/>
      <c r="J366" s="50" t="n"/>
      <c r="L366" s="25">
        <f>IF(D366="","",IF(H366="W",1,IF(H366="L",0,"")))</f>
        <v/>
      </c>
      <c r="M366" s="25">
        <f>IF(D366="","",COUNTIFS($D$2:D366,D366))</f>
        <v/>
      </c>
      <c r="N366" s="25">
        <f>IF(D366="","",D366&amp;"|"&amp;M366)</f>
        <v/>
      </c>
      <c r="O366" s="25">
        <f>IF(D366="","",COUNTIFS($D$2:D366,D366,$H$2:H366,"W"))</f>
        <v/>
      </c>
      <c r="P366" s="26">
        <f>IF(D366="","",IFERROR(O366/M366,""))</f>
        <v/>
      </c>
      <c r="Q366" s="25">
        <f>IF(G366="","",IF(G366=1,"1°","2°"))</f>
        <v/>
      </c>
      <c r="R366" s="25">
        <f>IF(B366="","",TEXT(B366,"mmm-yyyy"))</f>
        <v/>
      </c>
    </row>
    <row r="367" ht="15.75" customHeight="1" s="54">
      <c r="C367" s="50" t="n"/>
      <c r="D367" s="50" t="n"/>
      <c r="E367" s="50" t="n"/>
      <c r="F367" s="50" t="n"/>
      <c r="G367" s="50" t="n"/>
      <c r="H367" s="50" t="n"/>
      <c r="J367" s="50" t="n"/>
      <c r="L367" s="25">
        <f>IF(D367="","",IF(H367="W",1,IF(H367="L",0,"")))</f>
        <v/>
      </c>
      <c r="M367" s="25">
        <f>IF(D367="","",COUNTIFS($D$2:D367,D367))</f>
        <v/>
      </c>
      <c r="N367" s="25">
        <f>IF(D367="","",D367&amp;"|"&amp;M367)</f>
        <v/>
      </c>
      <c r="O367" s="25">
        <f>IF(D367="","",COUNTIFS($D$2:D367,D367,$H$2:H367,"W"))</f>
        <v/>
      </c>
      <c r="P367" s="26">
        <f>IF(D367="","",IFERROR(O367/M367,""))</f>
        <v/>
      </c>
      <c r="Q367" s="25">
        <f>IF(G367="","",IF(G367=1,"1°","2°"))</f>
        <v/>
      </c>
      <c r="R367" s="25">
        <f>IF(B367="","",TEXT(B367,"mmm-yyyy"))</f>
        <v/>
      </c>
    </row>
    <row r="368" ht="15.75" customHeight="1" s="54">
      <c r="C368" s="50" t="n"/>
      <c r="D368" s="50" t="n"/>
      <c r="E368" s="50" t="n"/>
      <c r="F368" s="50" t="n"/>
      <c r="G368" s="50" t="n"/>
      <c r="H368" s="50" t="n"/>
      <c r="J368" s="50" t="n"/>
      <c r="L368" s="25">
        <f>IF(D368="","",IF(H368="W",1,IF(H368="L",0,"")))</f>
        <v/>
      </c>
      <c r="M368" s="25">
        <f>IF(D368="","",COUNTIFS($D$2:D368,D368))</f>
        <v/>
      </c>
      <c r="N368" s="25">
        <f>IF(D368="","",D368&amp;"|"&amp;M368)</f>
        <v/>
      </c>
      <c r="O368" s="25">
        <f>IF(D368="","",COUNTIFS($D$2:D368,D368,$H$2:H368,"W"))</f>
        <v/>
      </c>
      <c r="P368" s="26">
        <f>IF(D368="","",IFERROR(O368/M368,""))</f>
        <v/>
      </c>
      <c r="Q368" s="25">
        <f>IF(G368="","",IF(G368=1,"1°","2°"))</f>
        <v/>
      </c>
      <c r="R368" s="25">
        <f>IF(B368="","",TEXT(B368,"mmm-yyyy"))</f>
        <v/>
      </c>
    </row>
    <row r="369" ht="15.75" customHeight="1" s="54">
      <c r="C369" s="50" t="n"/>
      <c r="D369" s="50" t="n"/>
      <c r="E369" s="50" t="n"/>
      <c r="F369" s="50" t="n"/>
      <c r="G369" s="50" t="n"/>
      <c r="H369" s="50" t="n"/>
      <c r="J369" s="50" t="n"/>
      <c r="L369" s="25">
        <f>IF(D369="","",IF(H369="W",1,IF(H369="L",0,"")))</f>
        <v/>
      </c>
      <c r="M369" s="25">
        <f>IF(D369="","",COUNTIFS($D$2:D369,D369))</f>
        <v/>
      </c>
      <c r="N369" s="25">
        <f>IF(D369="","",D369&amp;"|"&amp;M369)</f>
        <v/>
      </c>
      <c r="O369" s="25">
        <f>IF(D369="","",COUNTIFS($D$2:D369,D369,$H$2:H369,"W"))</f>
        <v/>
      </c>
      <c r="P369" s="26">
        <f>IF(D369="","",IFERROR(O369/M369,""))</f>
        <v/>
      </c>
      <c r="Q369" s="25">
        <f>IF(G369="","",IF(G369=1,"1°","2°"))</f>
        <v/>
      </c>
      <c r="R369" s="25">
        <f>IF(B369="","",TEXT(B369,"mmm-yyyy"))</f>
        <v/>
      </c>
    </row>
    <row r="370" ht="15.75" customHeight="1" s="54">
      <c r="C370" s="50" t="n"/>
      <c r="D370" s="50" t="n"/>
      <c r="E370" s="50" t="n"/>
      <c r="F370" s="50" t="n"/>
      <c r="G370" s="50" t="n"/>
      <c r="H370" s="50" t="n"/>
      <c r="J370" s="50" t="n"/>
      <c r="L370" s="25">
        <f>IF(D370="","",IF(H370="W",1,IF(H370="L",0,"")))</f>
        <v/>
      </c>
      <c r="M370" s="25">
        <f>IF(D370="","",COUNTIFS($D$2:D370,D370))</f>
        <v/>
      </c>
      <c r="N370" s="25">
        <f>IF(D370="","",D370&amp;"|"&amp;M370)</f>
        <v/>
      </c>
      <c r="O370" s="25">
        <f>IF(D370="","",COUNTIFS($D$2:D370,D370,$H$2:H370,"W"))</f>
        <v/>
      </c>
      <c r="P370" s="26">
        <f>IF(D370="","",IFERROR(O370/M370,""))</f>
        <v/>
      </c>
      <c r="Q370" s="25">
        <f>IF(G370="","",IF(G370=1,"1°","2°"))</f>
        <v/>
      </c>
      <c r="R370" s="25">
        <f>IF(B370="","",TEXT(B370,"mmm-yyyy"))</f>
        <v/>
      </c>
    </row>
    <row r="371" ht="15.75" customHeight="1" s="54">
      <c r="C371" s="50" t="n"/>
      <c r="D371" s="50" t="n"/>
      <c r="E371" s="50" t="n"/>
      <c r="F371" s="50" t="n"/>
      <c r="G371" s="50" t="n"/>
      <c r="H371" s="50" t="n"/>
      <c r="J371" s="50" t="n"/>
      <c r="L371" s="25">
        <f>IF(D371="","",IF(H371="W",1,IF(H371="L",0,"")))</f>
        <v/>
      </c>
      <c r="M371" s="25">
        <f>IF(D371="","",COUNTIFS($D$2:D371,D371))</f>
        <v/>
      </c>
      <c r="N371" s="25">
        <f>IF(D371="","",D371&amp;"|"&amp;M371)</f>
        <v/>
      </c>
      <c r="O371" s="25">
        <f>IF(D371="","",COUNTIFS($D$2:D371,D371,$H$2:H371,"W"))</f>
        <v/>
      </c>
      <c r="P371" s="26">
        <f>IF(D371="","",IFERROR(O371/M371,""))</f>
        <v/>
      </c>
      <c r="Q371" s="25">
        <f>IF(G371="","",IF(G371=1,"1°","2°"))</f>
        <v/>
      </c>
      <c r="R371" s="25">
        <f>IF(B371="","",TEXT(B371,"mmm-yyyy"))</f>
        <v/>
      </c>
    </row>
    <row r="372" ht="15.75" customHeight="1" s="54">
      <c r="C372" s="50" t="n"/>
      <c r="D372" s="50" t="n"/>
      <c r="E372" s="50" t="n"/>
      <c r="F372" s="50" t="n"/>
      <c r="G372" s="50" t="n"/>
      <c r="H372" s="50" t="n"/>
      <c r="J372" s="50" t="n"/>
      <c r="L372" s="25">
        <f>IF(D372="","",IF(H372="W",1,IF(H372="L",0,"")))</f>
        <v/>
      </c>
      <c r="M372" s="25">
        <f>IF(D372="","",COUNTIFS($D$2:D372,D372))</f>
        <v/>
      </c>
      <c r="N372" s="25">
        <f>IF(D372="","",D372&amp;"|"&amp;M372)</f>
        <v/>
      </c>
      <c r="O372" s="25">
        <f>IF(D372="","",COUNTIFS($D$2:D372,D372,$H$2:H372,"W"))</f>
        <v/>
      </c>
      <c r="P372" s="26">
        <f>IF(D372="","",IFERROR(O372/M372,""))</f>
        <v/>
      </c>
      <c r="Q372" s="25">
        <f>IF(G372="","",IF(G372=1,"1°","2°"))</f>
        <v/>
      </c>
      <c r="R372" s="25">
        <f>IF(B372="","",TEXT(B372,"mmm-yyyy"))</f>
        <v/>
      </c>
    </row>
    <row r="373" ht="15.75" customHeight="1" s="54">
      <c r="C373" s="50" t="n"/>
      <c r="D373" s="50" t="n"/>
      <c r="E373" s="50" t="n"/>
      <c r="F373" s="50" t="n"/>
      <c r="G373" s="50" t="n"/>
      <c r="H373" s="50" t="n"/>
      <c r="J373" s="50" t="n"/>
      <c r="L373" s="25">
        <f>IF(D373="","",IF(H373="W",1,IF(H373="L",0,"")))</f>
        <v/>
      </c>
      <c r="M373" s="25">
        <f>IF(D373="","",COUNTIFS($D$2:D373,D373))</f>
        <v/>
      </c>
      <c r="N373" s="25">
        <f>IF(D373="","",D373&amp;"|"&amp;M373)</f>
        <v/>
      </c>
      <c r="O373" s="25">
        <f>IF(D373="","",COUNTIFS($D$2:D373,D373,$H$2:H373,"W"))</f>
        <v/>
      </c>
      <c r="P373" s="26">
        <f>IF(D373="","",IFERROR(O373/M373,""))</f>
        <v/>
      </c>
      <c r="Q373" s="25">
        <f>IF(G373="","",IF(G373=1,"1°","2°"))</f>
        <v/>
      </c>
      <c r="R373" s="25">
        <f>IF(B373="","",TEXT(B373,"mmm-yyyy"))</f>
        <v/>
      </c>
    </row>
    <row r="374" ht="15.75" customHeight="1" s="54">
      <c r="C374" s="50" t="n"/>
      <c r="D374" s="50" t="n"/>
      <c r="E374" s="50" t="n"/>
      <c r="F374" s="50" t="n"/>
      <c r="G374" s="50" t="n"/>
      <c r="H374" s="50" t="n"/>
      <c r="J374" s="50" t="n"/>
      <c r="L374" s="25">
        <f>IF(D374="","",IF(H374="W",1,IF(H374="L",0,"")))</f>
        <v/>
      </c>
      <c r="M374" s="25">
        <f>IF(D374="","",COUNTIFS($D$2:D374,D374))</f>
        <v/>
      </c>
      <c r="N374" s="25">
        <f>IF(D374="","",D374&amp;"|"&amp;M374)</f>
        <v/>
      </c>
      <c r="O374" s="25">
        <f>IF(D374="","",COUNTIFS($D$2:D374,D374,$H$2:H374,"W"))</f>
        <v/>
      </c>
      <c r="P374" s="26">
        <f>IF(D374="","",IFERROR(O374/M374,""))</f>
        <v/>
      </c>
      <c r="Q374" s="25">
        <f>IF(G374="","",IF(G374=1,"1°","2°"))</f>
        <v/>
      </c>
      <c r="R374" s="25">
        <f>IF(B374="","",TEXT(B374,"mmm-yyyy"))</f>
        <v/>
      </c>
    </row>
    <row r="375" ht="15.75" customHeight="1" s="54">
      <c r="C375" s="50" t="n"/>
      <c r="D375" s="50" t="n"/>
      <c r="E375" s="50" t="n"/>
      <c r="F375" s="50" t="n"/>
      <c r="G375" s="50" t="n"/>
      <c r="H375" s="50" t="n"/>
      <c r="J375" s="50" t="n"/>
      <c r="L375" s="25">
        <f>IF(D375="","",IF(H375="W",1,IF(H375="L",0,"")))</f>
        <v/>
      </c>
      <c r="M375" s="25">
        <f>IF(D375="","",COUNTIFS($D$2:D375,D375))</f>
        <v/>
      </c>
      <c r="N375" s="25">
        <f>IF(D375="","",D375&amp;"|"&amp;M375)</f>
        <v/>
      </c>
      <c r="O375" s="25">
        <f>IF(D375="","",COUNTIFS($D$2:D375,D375,$H$2:H375,"W"))</f>
        <v/>
      </c>
      <c r="P375" s="26">
        <f>IF(D375="","",IFERROR(O375/M375,""))</f>
        <v/>
      </c>
      <c r="Q375" s="25">
        <f>IF(G375="","",IF(G375=1,"1°","2°"))</f>
        <v/>
      </c>
      <c r="R375" s="25">
        <f>IF(B375="","",TEXT(B375,"mmm-yyyy"))</f>
        <v/>
      </c>
    </row>
    <row r="376" ht="15.75" customHeight="1" s="54">
      <c r="C376" s="50" t="n"/>
      <c r="D376" s="50" t="n"/>
      <c r="E376" s="50" t="n"/>
      <c r="F376" s="50" t="n"/>
      <c r="G376" s="50" t="n"/>
      <c r="H376" s="50" t="n"/>
      <c r="J376" s="50" t="n"/>
      <c r="L376" s="25">
        <f>IF(D376="","",IF(H376="W",1,IF(H376="L",0,"")))</f>
        <v/>
      </c>
      <c r="M376" s="25">
        <f>IF(D376="","",COUNTIFS($D$2:D376,D376))</f>
        <v/>
      </c>
      <c r="N376" s="25">
        <f>IF(D376="","",D376&amp;"|"&amp;M376)</f>
        <v/>
      </c>
      <c r="O376" s="25">
        <f>IF(D376="","",COUNTIFS($D$2:D376,D376,$H$2:H376,"W"))</f>
        <v/>
      </c>
      <c r="P376" s="26">
        <f>IF(D376="","",IFERROR(O376/M376,""))</f>
        <v/>
      </c>
      <c r="Q376" s="25">
        <f>IF(G376="","",IF(G376=1,"1°","2°"))</f>
        <v/>
      </c>
      <c r="R376" s="25">
        <f>IF(B376="","",TEXT(B376,"mmm-yyyy"))</f>
        <v/>
      </c>
    </row>
    <row r="377" ht="15.75" customHeight="1" s="54">
      <c r="C377" s="50" t="n"/>
      <c r="D377" s="50" t="n"/>
      <c r="E377" s="50" t="n"/>
      <c r="F377" s="50" t="n"/>
      <c r="G377" s="50" t="n"/>
      <c r="H377" s="50" t="n"/>
      <c r="J377" s="50" t="n"/>
      <c r="L377" s="25">
        <f>IF(D377="","",IF(H377="W",1,IF(H377="L",0,"")))</f>
        <v/>
      </c>
      <c r="M377" s="25">
        <f>IF(D377="","",COUNTIFS($D$2:D377,D377))</f>
        <v/>
      </c>
      <c r="N377" s="25">
        <f>IF(D377="","",D377&amp;"|"&amp;M377)</f>
        <v/>
      </c>
      <c r="O377" s="25">
        <f>IF(D377="","",COUNTIFS($D$2:D377,D377,$H$2:H377,"W"))</f>
        <v/>
      </c>
      <c r="P377" s="26">
        <f>IF(D377="","",IFERROR(O377/M377,""))</f>
        <v/>
      </c>
      <c r="Q377" s="25">
        <f>IF(G377="","",IF(G377=1,"1°","2°"))</f>
        <v/>
      </c>
      <c r="R377" s="25">
        <f>IF(B377="","",TEXT(B377,"mmm-yyyy"))</f>
        <v/>
      </c>
    </row>
    <row r="378" ht="15.75" customHeight="1" s="54">
      <c r="C378" s="50" t="n"/>
      <c r="D378" s="50" t="n"/>
      <c r="E378" s="50" t="n"/>
      <c r="F378" s="50" t="n"/>
      <c r="G378" s="50" t="n"/>
      <c r="H378" s="50" t="n"/>
      <c r="J378" s="50" t="n"/>
      <c r="L378" s="25">
        <f>IF(D378="","",IF(H378="W",1,IF(H378="L",0,"")))</f>
        <v/>
      </c>
      <c r="M378" s="25">
        <f>IF(D378="","",COUNTIFS($D$2:D378,D378))</f>
        <v/>
      </c>
      <c r="N378" s="25">
        <f>IF(D378="","",D378&amp;"|"&amp;M378)</f>
        <v/>
      </c>
      <c r="O378" s="25">
        <f>IF(D378="","",COUNTIFS($D$2:D378,D378,$H$2:H378,"W"))</f>
        <v/>
      </c>
      <c r="P378" s="26">
        <f>IF(D378="","",IFERROR(O378/M378,""))</f>
        <v/>
      </c>
      <c r="Q378" s="25">
        <f>IF(G378="","",IF(G378=1,"1°","2°"))</f>
        <v/>
      </c>
      <c r="R378" s="25">
        <f>IF(B378="","",TEXT(B378,"mmm-yyyy"))</f>
        <v/>
      </c>
    </row>
    <row r="379" ht="15.75" customHeight="1" s="54">
      <c r="C379" s="50" t="n"/>
      <c r="D379" s="50" t="n"/>
      <c r="E379" s="50" t="n"/>
      <c r="F379" s="50" t="n"/>
      <c r="G379" s="50" t="n"/>
      <c r="H379" s="50" t="n"/>
      <c r="J379" s="50" t="n"/>
      <c r="L379" s="25">
        <f>IF(D379="","",IF(H379="W",1,IF(H379="L",0,"")))</f>
        <v/>
      </c>
      <c r="M379" s="25">
        <f>IF(D379="","",COUNTIFS($D$2:D379,D379))</f>
        <v/>
      </c>
      <c r="N379" s="25">
        <f>IF(D379="","",D379&amp;"|"&amp;M379)</f>
        <v/>
      </c>
      <c r="O379" s="25">
        <f>IF(D379="","",COUNTIFS($D$2:D379,D379,$H$2:H379,"W"))</f>
        <v/>
      </c>
      <c r="P379" s="26">
        <f>IF(D379="","",IFERROR(O379/M379,""))</f>
        <v/>
      </c>
      <c r="Q379" s="25">
        <f>IF(G379="","",IF(G379=1,"1°","2°"))</f>
        <v/>
      </c>
      <c r="R379" s="25">
        <f>IF(B379="","",TEXT(B379,"mmm-yyyy"))</f>
        <v/>
      </c>
    </row>
    <row r="380" ht="15.75" customHeight="1" s="54">
      <c r="C380" s="50" t="n"/>
      <c r="D380" s="50" t="n"/>
      <c r="E380" s="50" t="n"/>
      <c r="F380" s="50" t="n"/>
      <c r="G380" s="50" t="n"/>
      <c r="H380" s="50" t="n"/>
      <c r="J380" s="50" t="n"/>
      <c r="L380" s="25">
        <f>IF(D380="","",IF(H380="W",1,IF(H380="L",0,"")))</f>
        <v/>
      </c>
      <c r="M380" s="25">
        <f>IF(D380="","",COUNTIFS($D$2:D380,D380))</f>
        <v/>
      </c>
      <c r="N380" s="25">
        <f>IF(D380="","",D380&amp;"|"&amp;M380)</f>
        <v/>
      </c>
      <c r="O380" s="25">
        <f>IF(D380="","",COUNTIFS($D$2:D380,D380,$H$2:H380,"W"))</f>
        <v/>
      </c>
      <c r="P380" s="26">
        <f>IF(D380="","",IFERROR(O380/M380,""))</f>
        <v/>
      </c>
      <c r="Q380" s="25">
        <f>IF(G380="","",IF(G380=1,"1°","2°"))</f>
        <v/>
      </c>
      <c r="R380" s="25">
        <f>IF(B380="","",TEXT(B380,"mmm-yyyy"))</f>
        <v/>
      </c>
    </row>
    <row r="381" ht="15.75" customHeight="1" s="54">
      <c r="C381" s="50" t="n"/>
      <c r="D381" s="50" t="n"/>
      <c r="E381" s="50" t="n"/>
      <c r="F381" s="50" t="n"/>
      <c r="G381" s="50" t="n"/>
      <c r="H381" s="50" t="n"/>
      <c r="J381" s="50" t="n"/>
      <c r="L381" s="25">
        <f>IF(D381="","",IF(H381="W",1,IF(H381="L",0,"")))</f>
        <v/>
      </c>
      <c r="M381" s="25">
        <f>IF(D381="","",COUNTIFS($D$2:D381,D381))</f>
        <v/>
      </c>
      <c r="N381" s="25">
        <f>IF(D381="","",D381&amp;"|"&amp;M381)</f>
        <v/>
      </c>
      <c r="O381" s="25">
        <f>IF(D381="","",COUNTIFS($D$2:D381,D381,$H$2:H381,"W"))</f>
        <v/>
      </c>
      <c r="P381" s="26">
        <f>IF(D381="","",IFERROR(O381/M381,""))</f>
        <v/>
      </c>
      <c r="Q381" s="25">
        <f>IF(G381="","",IF(G381=1,"1°","2°"))</f>
        <v/>
      </c>
      <c r="R381" s="25">
        <f>IF(B381="","",TEXT(B381,"mmm-yyyy"))</f>
        <v/>
      </c>
    </row>
    <row r="382" ht="15.75" customHeight="1" s="54">
      <c r="C382" s="50" t="n"/>
      <c r="D382" s="50" t="n"/>
      <c r="E382" s="50" t="n"/>
      <c r="F382" s="50" t="n"/>
      <c r="G382" s="50" t="n"/>
      <c r="H382" s="50" t="n"/>
      <c r="J382" s="50" t="n"/>
      <c r="L382" s="25">
        <f>IF(D382="","",IF(H382="W",1,IF(H382="L",0,"")))</f>
        <v/>
      </c>
      <c r="M382" s="25">
        <f>IF(D382="","",COUNTIFS($D$2:D382,D382))</f>
        <v/>
      </c>
      <c r="N382" s="25">
        <f>IF(D382="","",D382&amp;"|"&amp;M382)</f>
        <v/>
      </c>
      <c r="O382" s="25">
        <f>IF(D382="","",COUNTIFS($D$2:D382,D382,$H$2:H382,"W"))</f>
        <v/>
      </c>
      <c r="P382" s="26">
        <f>IF(D382="","",IFERROR(O382/M382,""))</f>
        <v/>
      </c>
      <c r="Q382" s="25">
        <f>IF(G382="","",IF(G382=1,"1°","2°"))</f>
        <v/>
      </c>
      <c r="R382" s="25">
        <f>IF(B382="","",TEXT(B382,"mmm-yyyy"))</f>
        <v/>
      </c>
    </row>
    <row r="383" ht="15.75" customHeight="1" s="54">
      <c r="C383" s="50" t="n"/>
      <c r="D383" s="50" t="n"/>
      <c r="E383" s="50" t="n"/>
      <c r="F383" s="50" t="n"/>
      <c r="G383" s="50" t="n"/>
      <c r="H383" s="50" t="n"/>
      <c r="J383" s="50" t="n"/>
      <c r="L383" s="25">
        <f>IF(D383="","",IF(H383="W",1,IF(H383="L",0,"")))</f>
        <v/>
      </c>
      <c r="M383" s="25">
        <f>IF(D383="","",COUNTIFS($D$2:D383,D383))</f>
        <v/>
      </c>
      <c r="N383" s="25">
        <f>IF(D383="","",D383&amp;"|"&amp;M383)</f>
        <v/>
      </c>
      <c r="O383" s="25">
        <f>IF(D383="","",COUNTIFS($D$2:D383,D383,$H$2:H383,"W"))</f>
        <v/>
      </c>
      <c r="P383" s="26">
        <f>IF(D383="","",IFERROR(O383/M383,""))</f>
        <v/>
      </c>
      <c r="Q383" s="25">
        <f>IF(G383="","",IF(G383=1,"1°","2°"))</f>
        <v/>
      </c>
      <c r="R383" s="25">
        <f>IF(B383="","",TEXT(B383,"mmm-yyyy"))</f>
        <v/>
      </c>
    </row>
    <row r="384" ht="15.75" customHeight="1" s="54">
      <c r="C384" s="50" t="n"/>
      <c r="D384" s="50" t="n"/>
      <c r="E384" s="50" t="n"/>
      <c r="F384" s="50" t="n"/>
      <c r="G384" s="50" t="n"/>
      <c r="H384" s="50" t="n"/>
      <c r="J384" s="50" t="n"/>
      <c r="L384" s="25">
        <f>IF(D384="","",IF(H384="W",1,IF(H384="L",0,"")))</f>
        <v/>
      </c>
      <c r="M384" s="25">
        <f>IF(D384="","",COUNTIFS($D$2:D384,D384))</f>
        <v/>
      </c>
      <c r="N384" s="25">
        <f>IF(D384="","",D384&amp;"|"&amp;M384)</f>
        <v/>
      </c>
      <c r="O384" s="25">
        <f>IF(D384="","",COUNTIFS($D$2:D384,D384,$H$2:H384,"W"))</f>
        <v/>
      </c>
      <c r="P384" s="26">
        <f>IF(D384="","",IFERROR(O384/M384,""))</f>
        <v/>
      </c>
      <c r="Q384" s="25">
        <f>IF(G384="","",IF(G384=1,"1°","2°"))</f>
        <v/>
      </c>
      <c r="R384" s="25">
        <f>IF(B384="","",TEXT(B384,"mmm-yyyy"))</f>
        <v/>
      </c>
    </row>
    <row r="385" ht="15.75" customHeight="1" s="54">
      <c r="C385" s="50" t="n"/>
      <c r="D385" s="50" t="n"/>
      <c r="E385" s="50" t="n"/>
      <c r="F385" s="50" t="n"/>
      <c r="G385" s="50" t="n"/>
      <c r="H385" s="50" t="n"/>
      <c r="J385" s="50" t="n"/>
      <c r="L385" s="25">
        <f>IF(D385="","",IF(H385="W",1,IF(H385="L",0,"")))</f>
        <v/>
      </c>
      <c r="M385" s="25">
        <f>IF(D385="","",COUNTIFS($D$2:D385,D385))</f>
        <v/>
      </c>
      <c r="N385" s="25">
        <f>IF(D385="","",D385&amp;"|"&amp;M385)</f>
        <v/>
      </c>
      <c r="O385" s="25">
        <f>IF(D385="","",COUNTIFS($D$2:D385,D385,$H$2:H385,"W"))</f>
        <v/>
      </c>
      <c r="P385" s="26">
        <f>IF(D385="","",IFERROR(O385/M385,""))</f>
        <v/>
      </c>
      <c r="Q385" s="25">
        <f>IF(G385="","",IF(G385=1,"1°","2°"))</f>
        <v/>
      </c>
      <c r="R385" s="25">
        <f>IF(B385="","",TEXT(B385,"mmm-yyyy"))</f>
        <v/>
      </c>
    </row>
    <row r="386" ht="15.75" customHeight="1" s="54">
      <c r="C386" s="50" t="n"/>
      <c r="D386" s="50" t="n"/>
      <c r="E386" s="50" t="n"/>
      <c r="F386" s="50" t="n"/>
      <c r="G386" s="50" t="n"/>
      <c r="H386" s="50" t="n"/>
      <c r="J386" s="50" t="n"/>
      <c r="L386" s="25">
        <f>IF(D386="","",IF(H386="W",1,IF(H386="L",0,"")))</f>
        <v/>
      </c>
      <c r="M386" s="25">
        <f>IF(D386="","",COUNTIFS($D$2:D386,D386))</f>
        <v/>
      </c>
      <c r="N386" s="25">
        <f>IF(D386="","",D386&amp;"|"&amp;M386)</f>
        <v/>
      </c>
      <c r="O386" s="25">
        <f>IF(D386="","",COUNTIFS($D$2:D386,D386,$H$2:H386,"W"))</f>
        <v/>
      </c>
      <c r="P386" s="26">
        <f>IF(D386="","",IFERROR(O386/M386,""))</f>
        <v/>
      </c>
      <c r="Q386" s="25">
        <f>IF(G386="","",IF(G386=1,"1°","2°"))</f>
        <v/>
      </c>
      <c r="R386" s="25">
        <f>IF(B386="","",TEXT(B386,"mmm-yyyy"))</f>
        <v/>
      </c>
    </row>
    <row r="387" ht="15.75" customHeight="1" s="54">
      <c r="C387" s="50" t="n"/>
      <c r="D387" s="50" t="n"/>
      <c r="E387" s="50" t="n"/>
      <c r="F387" s="50" t="n"/>
      <c r="G387" s="50" t="n"/>
      <c r="H387" s="50" t="n"/>
      <c r="J387" s="50" t="n"/>
      <c r="L387" s="25">
        <f>IF(D387="","",IF(H387="W",1,IF(H387="L",0,"")))</f>
        <v/>
      </c>
      <c r="M387" s="25">
        <f>IF(D387="","",COUNTIFS($D$2:D387,D387))</f>
        <v/>
      </c>
      <c r="N387" s="25">
        <f>IF(D387="","",D387&amp;"|"&amp;M387)</f>
        <v/>
      </c>
      <c r="O387" s="25">
        <f>IF(D387="","",COUNTIFS($D$2:D387,D387,$H$2:H387,"W"))</f>
        <v/>
      </c>
      <c r="P387" s="26">
        <f>IF(D387="","",IFERROR(O387/M387,""))</f>
        <v/>
      </c>
      <c r="Q387" s="25">
        <f>IF(G387="","",IF(G387=1,"1°","2°"))</f>
        <v/>
      </c>
      <c r="R387" s="25">
        <f>IF(B387="","",TEXT(B387,"mmm-yyyy"))</f>
        <v/>
      </c>
    </row>
    <row r="388" ht="15.75" customHeight="1" s="54">
      <c r="C388" s="50" t="n"/>
      <c r="D388" s="50" t="n"/>
      <c r="E388" s="50" t="n"/>
      <c r="F388" s="50" t="n"/>
      <c r="G388" s="50" t="n"/>
      <c r="H388" s="50" t="n"/>
      <c r="J388" s="50" t="n"/>
      <c r="L388" s="25">
        <f>IF(D388="","",IF(H388="W",1,IF(H388="L",0,"")))</f>
        <v/>
      </c>
      <c r="M388" s="25">
        <f>IF(D388="","",COUNTIFS($D$2:D388,D388))</f>
        <v/>
      </c>
      <c r="N388" s="25">
        <f>IF(D388="","",D388&amp;"|"&amp;M388)</f>
        <v/>
      </c>
      <c r="O388" s="25">
        <f>IF(D388="","",COUNTIFS($D$2:D388,D388,$H$2:H388,"W"))</f>
        <v/>
      </c>
      <c r="P388" s="26">
        <f>IF(D388="","",IFERROR(O388/M388,""))</f>
        <v/>
      </c>
      <c r="Q388" s="25">
        <f>IF(G388="","",IF(G388=1,"1°","2°"))</f>
        <v/>
      </c>
      <c r="R388" s="25">
        <f>IF(B388="","",TEXT(B388,"mmm-yyyy"))</f>
        <v/>
      </c>
    </row>
    <row r="389" ht="15.75" customHeight="1" s="54">
      <c r="C389" s="50" t="n"/>
      <c r="D389" s="50" t="n"/>
      <c r="E389" s="50" t="n"/>
      <c r="F389" s="50" t="n"/>
      <c r="G389" s="50" t="n"/>
      <c r="H389" s="50" t="n"/>
      <c r="J389" s="50" t="n"/>
      <c r="L389" s="25">
        <f>IF(D389="","",IF(H389="W",1,IF(H389="L",0,"")))</f>
        <v/>
      </c>
      <c r="M389" s="25">
        <f>IF(D389="","",COUNTIFS($D$2:D389,D389))</f>
        <v/>
      </c>
      <c r="N389" s="25">
        <f>IF(D389="","",D389&amp;"|"&amp;M389)</f>
        <v/>
      </c>
      <c r="O389" s="25">
        <f>IF(D389="","",COUNTIFS($D$2:D389,D389,$H$2:H389,"W"))</f>
        <v/>
      </c>
      <c r="P389" s="26">
        <f>IF(D389="","",IFERROR(O389/M389,""))</f>
        <v/>
      </c>
      <c r="Q389" s="25">
        <f>IF(G389="","",IF(G389=1,"1°","2°"))</f>
        <v/>
      </c>
      <c r="R389" s="25">
        <f>IF(B389="","",TEXT(B389,"mmm-yyyy"))</f>
        <v/>
      </c>
    </row>
    <row r="390" ht="15.75" customHeight="1" s="54">
      <c r="C390" s="50" t="n"/>
      <c r="D390" s="50" t="n"/>
      <c r="E390" s="50" t="n"/>
      <c r="F390" s="50" t="n"/>
      <c r="G390" s="50" t="n"/>
      <c r="H390" s="50" t="n"/>
      <c r="J390" s="50" t="n"/>
      <c r="L390" s="25">
        <f>IF(D390="","",IF(H390="W",1,IF(H390="L",0,"")))</f>
        <v/>
      </c>
      <c r="M390" s="25">
        <f>IF(D390="","",COUNTIFS($D$2:D390,D390))</f>
        <v/>
      </c>
      <c r="N390" s="25">
        <f>IF(D390="","",D390&amp;"|"&amp;M390)</f>
        <v/>
      </c>
      <c r="O390" s="25">
        <f>IF(D390="","",COUNTIFS($D$2:D390,D390,$H$2:H390,"W"))</f>
        <v/>
      </c>
      <c r="P390" s="26">
        <f>IF(D390="","",IFERROR(O390/M390,""))</f>
        <v/>
      </c>
      <c r="Q390" s="25">
        <f>IF(G390="","",IF(G390=1,"1°","2°"))</f>
        <v/>
      </c>
      <c r="R390" s="25">
        <f>IF(B390="","",TEXT(B390,"mmm-yyyy"))</f>
        <v/>
      </c>
    </row>
    <row r="391" ht="15.75" customHeight="1" s="54">
      <c r="C391" s="50" t="n"/>
      <c r="D391" s="50" t="n"/>
      <c r="E391" s="50" t="n"/>
      <c r="F391" s="50" t="n"/>
      <c r="G391" s="50" t="n"/>
      <c r="H391" s="50" t="n"/>
      <c r="J391" s="50" t="n"/>
      <c r="L391" s="25">
        <f>IF(D391="","",IF(H391="W",1,IF(H391="L",0,"")))</f>
        <v/>
      </c>
      <c r="M391" s="25">
        <f>IF(D391="","",COUNTIFS($D$2:D391,D391))</f>
        <v/>
      </c>
      <c r="N391" s="25">
        <f>IF(D391="","",D391&amp;"|"&amp;M391)</f>
        <v/>
      </c>
      <c r="O391" s="25">
        <f>IF(D391="","",COUNTIFS($D$2:D391,D391,$H$2:H391,"W"))</f>
        <v/>
      </c>
      <c r="P391" s="26">
        <f>IF(D391="","",IFERROR(O391/M391,""))</f>
        <v/>
      </c>
      <c r="Q391" s="25">
        <f>IF(G391="","",IF(G391=1,"1°","2°"))</f>
        <v/>
      </c>
      <c r="R391" s="25">
        <f>IF(B391="","",TEXT(B391,"mmm-yyyy"))</f>
        <v/>
      </c>
    </row>
    <row r="392" ht="15.75" customHeight="1" s="54">
      <c r="C392" s="50" t="n"/>
      <c r="D392" s="50" t="n"/>
      <c r="E392" s="50" t="n"/>
      <c r="F392" s="50" t="n"/>
      <c r="G392" s="50" t="n"/>
      <c r="H392" s="50" t="n"/>
      <c r="J392" s="50" t="n"/>
      <c r="L392" s="25">
        <f>IF(D392="","",IF(H392="W",1,IF(H392="L",0,"")))</f>
        <v/>
      </c>
      <c r="M392" s="25">
        <f>IF(D392="","",COUNTIFS($D$2:D392,D392))</f>
        <v/>
      </c>
      <c r="N392" s="25">
        <f>IF(D392="","",D392&amp;"|"&amp;M392)</f>
        <v/>
      </c>
      <c r="O392" s="25">
        <f>IF(D392="","",COUNTIFS($D$2:D392,D392,$H$2:H392,"W"))</f>
        <v/>
      </c>
      <c r="P392" s="26">
        <f>IF(D392="","",IFERROR(O392/M392,""))</f>
        <v/>
      </c>
      <c r="Q392" s="25">
        <f>IF(G392="","",IF(G392=1,"1°","2°"))</f>
        <v/>
      </c>
      <c r="R392" s="25">
        <f>IF(B392="","",TEXT(B392,"mmm-yyyy"))</f>
        <v/>
      </c>
    </row>
    <row r="393" ht="15.75" customHeight="1" s="54">
      <c r="C393" s="50" t="n"/>
      <c r="D393" s="50" t="n"/>
      <c r="E393" s="50" t="n"/>
      <c r="F393" s="50" t="n"/>
      <c r="G393" s="50" t="n"/>
      <c r="H393" s="50" t="n"/>
      <c r="J393" s="50" t="n"/>
      <c r="L393" s="25">
        <f>IF(D393="","",IF(H393="W",1,IF(H393="L",0,"")))</f>
        <v/>
      </c>
      <c r="M393" s="25">
        <f>IF(D393="","",COUNTIFS($D$2:D393,D393))</f>
        <v/>
      </c>
      <c r="N393" s="25">
        <f>IF(D393="","",D393&amp;"|"&amp;M393)</f>
        <v/>
      </c>
      <c r="O393" s="25">
        <f>IF(D393="","",COUNTIFS($D$2:D393,D393,$H$2:H393,"W"))</f>
        <v/>
      </c>
      <c r="P393" s="26">
        <f>IF(D393="","",IFERROR(O393/M393,""))</f>
        <v/>
      </c>
      <c r="Q393" s="25">
        <f>IF(G393="","",IF(G393=1,"1°","2°"))</f>
        <v/>
      </c>
      <c r="R393" s="25">
        <f>IF(B393="","",TEXT(B393,"mmm-yyyy"))</f>
        <v/>
      </c>
    </row>
    <row r="394" ht="15.75" customHeight="1" s="54">
      <c r="C394" s="50" t="n"/>
      <c r="D394" s="50" t="n"/>
      <c r="E394" s="50" t="n"/>
      <c r="F394" s="50" t="n"/>
      <c r="G394" s="50" t="n"/>
      <c r="H394" s="50" t="n"/>
      <c r="J394" s="50" t="n"/>
      <c r="L394" s="25">
        <f>IF(D394="","",IF(H394="W",1,IF(H394="L",0,"")))</f>
        <v/>
      </c>
      <c r="M394" s="25">
        <f>IF(D394="","",COUNTIFS($D$2:D394,D394))</f>
        <v/>
      </c>
      <c r="N394" s="25">
        <f>IF(D394="","",D394&amp;"|"&amp;M394)</f>
        <v/>
      </c>
      <c r="O394" s="25">
        <f>IF(D394="","",COUNTIFS($D$2:D394,D394,$H$2:H394,"W"))</f>
        <v/>
      </c>
      <c r="P394" s="26">
        <f>IF(D394="","",IFERROR(O394/M394,""))</f>
        <v/>
      </c>
      <c r="Q394" s="25">
        <f>IF(G394="","",IF(G394=1,"1°","2°"))</f>
        <v/>
      </c>
      <c r="R394" s="25">
        <f>IF(B394="","",TEXT(B394,"mmm-yyyy"))</f>
        <v/>
      </c>
    </row>
    <row r="395" ht="15.75" customHeight="1" s="54">
      <c r="C395" s="50" t="n"/>
      <c r="D395" s="50" t="n"/>
      <c r="E395" s="50" t="n"/>
      <c r="F395" s="50" t="n"/>
      <c r="G395" s="50" t="n"/>
      <c r="H395" s="50" t="n"/>
      <c r="J395" s="50" t="n"/>
      <c r="L395" s="25">
        <f>IF(D395="","",IF(H395="W",1,IF(H395="L",0,"")))</f>
        <v/>
      </c>
      <c r="M395" s="25">
        <f>IF(D395="","",COUNTIFS($D$2:D395,D395))</f>
        <v/>
      </c>
      <c r="N395" s="25">
        <f>IF(D395="","",D395&amp;"|"&amp;M395)</f>
        <v/>
      </c>
      <c r="O395" s="25">
        <f>IF(D395="","",COUNTIFS($D$2:D395,D395,$H$2:H395,"W"))</f>
        <v/>
      </c>
      <c r="P395" s="26">
        <f>IF(D395="","",IFERROR(O395/M395,""))</f>
        <v/>
      </c>
      <c r="Q395" s="25">
        <f>IF(G395="","",IF(G395=1,"1°","2°"))</f>
        <v/>
      </c>
      <c r="R395" s="25">
        <f>IF(B395="","",TEXT(B395,"mmm-yyyy"))</f>
        <v/>
      </c>
    </row>
    <row r="396" ht="15.75" customHeight="1" s="54">
      <c r="C396" s="50" t="n"/>
      <c r="D396" s="50" t="n"/>
      <c r="E396" s="50" t="n"/>
      <c r="F396" s="50" t="n"/>
      <c r="G396" s="50" t="n"/>
      <c r="H396" s="50" t="n"/>
      <c r="J396" s="50" t="n"/>
      <c r="L396" s="25">
        <f>IF(D396="","",IF(H396="W",1,IF(H396="L",0,"")))</f>
        <v/>
      </c>
      <c r="M396" s="25">
        <f>IF(D396="","",COUNTIFS($D$2:D396,D396))</f>
        <v/>
      </c>
      <c r="N396" s="25">
        <f>IF(D396="","",D396&amp;"|"&amp;M396)</f>
        <v/>
      </c>
      <c r="O396" s="25">
        <f>IF(D396="","",COUNTIFS($D$2:D396,D396,$H$2:H396,"W"))</f>
        <v/>
      </c>
      <c r="P396" s="26">
        <f>IF(D396="","",IFERROR(O396/M396,""))</f>
        <v/>
      </c>
      <c r="Q396" s="25">
        <f>IF(G396="","",IF(G396=1,"1°","2°"))</f>
        <v/>
      </c>
      <c r="R396" s="25">
        <f>IF(B396="","",TEXT(B396,"mmm-yyyy"))</f>
        <v/>
      </c>
    </row>
    <row r="397" ht="15.75" customHeight="1" s="54">
      <c r="C397" s="50" t="n"/>
      <c r="D397" s="50" t="n"/>
      <c r="E397" s="50" t="n"/>
      <c r="F397" s="50" t="n"/>
      <c r="G397" s="50" t="n"/>
      <c r="H397" s="50" t="n"/>
      <c r="J397" s="50" t="n"/>
      <c r="L397" s="25">
        <f>IF(D397="","",IF(H397="W",1,IF(H397="L",0,"")))</f>
        <v/>
      </c>
      <c r="M397" s="25">
        <f>IF(D397="","",COUNTIFS($D$2:D397,D397))</f>
        <v/>
      </c>
      <c r="N397" s="25">
        <f>IF(D397="","",D397&amp;"|"&amp;M397)</f>
        <v/>
      </c>
      <c r="O397" s="25">
        <f>IF(D397="","",COUNTIFS($D$2:D397,D397,$H$2:H397,"W"))</f>
        <v/>
      </c>
      <c r="P397" s="26">
        <f>IF(D397="","",IFERROR(O397/M397,""))</f>
        <v/>
      </c>
      <c r="Q397" s="25">
        <f>IF(G397="","",IF(G397=1,"1°","2°"))</f>
        <v/>
      </c>
      <c r="R397" s="25">
        <f>IF(B397="","",TEXT(B397,"mmm-yyyy"))</f>
        <v/>
      </c>
    </row>
    <row r="398" ht="15.75" customHeight="1" s="54">
      <c r="C398" s="50" t="n"/>
      <c r="D398" s="50" t="n"/>
      <c r="E398" s="50" t="n"/>
      <c r="F398" s="50" t="n"/>
      <c r="G398" s="50" t="n"/>
      <c r="H398" s="50" t="n"/>
      <c r="J398" s="50" t="n"/>
      <c r="L398" s="25">
        <f>IF(D398="","",IF(H398="W",1,IF(H398="L",0,"")))</f>
        <v/>
      </c>
      <c r="M398" s="25">
        <f>IF(D398="","",COUNTIFS($D$2:D398,D398))</f>
        <v/>
      </c>
      <c r="N398" s="25">
        <f>IF(D398="","",D398&amp;"|"&amp;M398)</f>
        <v/>
      </c>
      <c r="O398" s="25">
        <f>IF(D398="","",COUNTIFS($D$2:D398,D398,$H$2:H398,"W"))</f>
        <v/>
      </c>
      <c r="P398" s="26">
        <f>IF(D398="","",IFERROR(O398/M398,""))</f>
        <v/>
      </c>
      <c r="Q398" s="25">
        <f>IF(G398="","",IF(G398=1,"1°","2°"))</f>
        <v/>
      </c>
      <c r="R398" s="25">
        <f>IF(B398="","",TEXT(B398,"mmm-yyyy"))</f>
        <v/>
      </c>
    </row>
    <row r="399" ht="15.75" customHeight="1" s="54">
      <c r="C399" s="50" t="n"/>
      <c r="D399" s="50" t="n"/>
      <c r="E399" s="50" t="n"/>
      <c r="F399" s="50" t="n"/>
      <c r="G399" s="50" t="n"/>
      <c r="H399" s="50" t="n"/>
      <c r="J399" s="50" t="n"/>
      <c r="L399" s="25">
        <f>IF(D399="","",IF(H399="W",1,IF(H399="L",0,"")))</f>
        <v/>
      </c>
      <c r="M399" s="25">
        <f>IF(D399="","",COUNTIFS($D$2:D399,D399))</f>
        <v/>
      </c>
      <c r="N399" s="25">
        <f>IF(D399="","",D399&amp;"|"&amp;M399)</f>
        <v/>
      </c>
      <c r="O399" s="25">
        <f>IF(D399="","",COUNTIFS($D$2:D399,D399,$H$2:H399,"W"))</f>
        <v/>
      </c>
      <c r="P399" s="26">
        <f>IF(D399="","",IFERROR(O399/M399,""))</f>
        <v/>
      </c>
      <c r="Q399" s="25">
        <f>IF(G399="","",IF(G399=1,"1°","2°"))</f>
        <v/>
      </c>
      <c r="R399" s="25">
        <f>IF(B399="","",TEXT(B399,"mmm-yyyy"))</f>
        <v/>
      </c>
    </row>
    <row r="400" ht="15.75" customHeight="1" s="54">
      <c r="C400" s="50" t="n"/>
      <c r="D400" s="50" t="n"/>
      <c r="E400" s="50" t="n"/>
      <c r="F400" s="50" t="n"/>
      <c r="G400" s="50" t="n"/>
      <c r="H400" s="50" t="n"/>
      <c r="J400" s="50" t="n"/>
      <c r="L400" s="25">
        <f>IF(D400="","",IF(H400="W",1,IF(H400="L",0,"")))</f>
        <v/>
      </c>
      <c r="M400" s="25">
        <f>IF(D400="","",COUNTIFS($D$2:D400,D400))</f>
        <v/>
      </c>
      <c r="N400" s="25">
        <f>IF(D400="","",D400&amp;"|"&amp;M400)</f>
        <v/>
      </c>
      <c r="O400" s="25">
        <f>IF(D400="","",COUNTIFS($D$2:D400,D400,$H$2:H400,"W"))</f>
        <v/>
      </c>
      <c r="P400" s="26">
        <f>IF(D400="","",IFERROR(O400/M400,""))</f>
        <v/>
      </c>
      <c r="Q400" s="25">
        <f>IF(G400="","",IF(G400=1,"1°","2°"))</f>
        <v/>
      </c>
      <c r="R400" s="25">
        <f>IF(B400="","",TEXT(B400,"mmm-yyyy"))</f>
        <v/>
      </c>
    </row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conditionalFormatting sqref="H2:H400">
    <cfRule type="cellIs" priority="1" operator="equal" dxfId="0">
      <formula>"W"</formula>
    </cfRule>
    <cfRule type="cellIs" priority="2" operator="equal" dxfId="1">
      <formula>"L"</formula>
    </cfRule>
  </conditionalFormatting>
  <conditionalFormatting sqref="P2:P40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7">
    <dataValidation sqref="E2:E400" showDropDown="0" showInputMessage="0" showErrorMessage="0" allowBlank="1" type="list">
      <formula1>Liste!$F$2:$F$12</formula1>
    </dataValidation>
    <dataValidation sqref="F2:F113 F116:F400" showDropDown="0" showInputMessage="0" showErrorMessage="0" allowBlank="1" type="list">
      <formula1>Liste!$G$2:$G$43</formula1>
    </dataValidation>
    <dataValidation sqref="J2:J400" showDropDown="0" showInputMessage="0" showErrorMessage="0" allowBlank="1" type="list">
      <formula1>Liste!$C$2:$C$3</formula1>
    </dataValidation>
    <dataValidation sqref="C2:C400" showDropDown="0" showInputMessage="0" showErrorMessage="0" allowBlank="1" type="list">
      <formula1>Liste!$B$2:$B$2</formula1>
    </dataValidation>
    <dataValidation sqref="H2:H400" showDropDown="0" showInputMessage="0" showErrorMessage="0" allowBlank="1" type="list">
      <formula1>"W,L"</formula1>
    </dataValidation>
    <dataValidation sqref="D2:D400" showDropDown="0" showInputMessage="0" showErrorMessage="0" allowBlank="1" type="list">
      <formula1>Liste!$A$2:$A$9</formula1>
    </dataValidation>
    <dataValidation sqref="G2:G400" showDropDown="0" showInputMessage="0" showErrorMessage="0" allowBlank="1" type="list">
      <formula1>"1,2"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3"/>
  <sheetViews>
    <sheetView showGridLines="0" workbookViewId="0">
      <selection activeCell="A1" sqref="A1"/>
    </sheetView>
  </sheetViews>
  <sheetFormatPr baseColWidth="8" defaultColWidth="12.63" defaultRowHeight="15" customHeight="1"/>
  <cols>
    <col width="28" customWidth="1" style="54" min="1" max="1"/>
    <col width="14" customWidth="1" style="54" min="2" max="3"/>
    <col width="12" customWidth="1" style="54" min="4" max="4"/>
    <col width="10" customWidth="1" style="54" min="5" max="5"/>
    <col width="16" customWidth="1" style="54" min="6" max="6"/>
    <col width="26" customWidth="1" style="54" min="7" max="7"/>
    <col width="8.630000000000001" customWidth="1" style="54" min="8" max="26"/>
  </cols>
  <sheetData>
    <row r="1">
      <c r="A1" s="51" t="inlineStr">
        <is>
          <t>Deck</t>
        </is>
      </c>
      <c r="B1" s="51" t="inlineStr">
        <is>
          <t>Formato</t>
        </is>
      </c>
      <c r="C1" s="51" t="inlineStr">
        <is>
          <t>Torneo</t>
        </is>
      </c>
      <c r="D1" s="51" t="inlineStr">
        <is>
          <t>Risultato</t>
        </is>
      </c>
      <c r="E1" s="51" t="inlineStr">
        <is>
          <t>Turno</t>
        </is>
      </c>
      <c r="F1" s="51" t="inlineStr">
        <is>
          <t>DeckList</t>
        </is>
      </c>
      <c r="G1" s="51" t="inlineStr">
        <is>
          <t>Avversario (per frequenza)</t>
        </is>
      </c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</row>
    <row r="2">
      <c r="A2" s="50" t="inlineStr">
        <is>
          <t>Alakazam Dusknoir</t>
        </is>
      </c>
      <c r="B2" s="50" t="inlineStr">
        <is>
          <t>TEF-PBL</t>
        </is>
      </c>
      <c r="C2" s="50" t="inlineStr">
        <is>
          <t>Friendly</t>
        </is>
      </c>
      <c r="D2" s="50" t="inlineStr">
        <is>
          <t>W</t>
        </is>
      </c>
      <c r="E2" s="50" t="n">
        <v>1</v>
      </c>
      <c r="F2" s="50" t="inlineStr">
        <is>
          <t>BB v1</t>
        </is>
      </c>
      <c r="G2" s="50" t="inlineStr">
        <is>
          <t>Alakazam Dudunsparce</t>
        </is>
      </c>
    </row>
    <row r="3">
      <c r="A3" s="50" t="inlineStr">
        <is>
          <t>Area Della Festa</t>
        </is>
      </c>
      <c r="C3" s="50" t="inlineStr">
        <is>
          <t>TCGLive</t>
        </is>
      </c>
      <c r="D3" s="50" t="inlineStr">
        <is>
          <t>L</t>
        </is>
      </c>
      <c r="E3" s="50" t="n">
        <v>2</v>
      </c>
      <c r="F3" s="50" t="inlineStr">
        <is>
          <t>Bolt v1</t>
        </is>
      </c>
      <c r="G3" s="50" t="inlineStr">
        <is>
          <t>Archaludon ex</t>
        </is>
      </c>
    </row>
    <row r="4">
      <c r="A4" s="50" t="inlineStr">
        <is>
          <t>Basic Box</t>
        </is>
      </c>
      <c r="F4" s="50" t="inlineStr">
        <is>
          <t>Dragapolli v1</t>
        </is>
      </c>
      <c r="G4" s="50" t="inlineStr">
        <is>
          <t>Area Della Festa</t>
        </is>
      </c>
    </row>
    <row r="5">
      <c r="A5" s="50" t="inlineStr">
        <is>
          <t>Dragapult ex</t>
        </is>
      </c>
      <c r="F5" s="50" t="inlineStr">
        <is>
          <t>Dragapolli v2</t>
        </is>
      </c>
      <c r="G5" s="50" t="inlineStr">
        <is>
          <t>Bronzong Dusknoir</t>
        </is>
      </c>
    </row>
    <row r="6">
      <c r="A6" s="50" t="inlineStr">
        <is>
          <t>Dragapult ex Blaziken ex</t>
        </is>
      </c>
      <c r="F6" s="50" t="inlineStr">
        <is>
          <t>Dragapolli v3</t>
        </is>
      </c>
      <c r="G6" s="50" t="inlineStr">
        <is>
          <t>Clafairy ex</t>
        </is>
      </c>
    </row>
    <row r="7">
      <c r="A7" s="0" t="inlineStr">
        <is>
          <t>Dragapult ex Dusknoir</t>
        </is>
      </c>
      <c r="F7" s="50" t="inlineStr">
        <is>
          <t>Dragapult v1</t>
        </is>
      </c>
      <c r="G7" s="50" t="inlineStr">
        <is>
          <t>Crusle</t>
        </is>
      </c>
    </row>
    <row r="8">
      <c r="A8" s="0" t="inlineStr">
        <is>
          <t>Grimmsnarl ex Froslass</t>
        </is>
      </c>
      <c r="F8" s="50" t="inlineStr">
        <is>
          <t>Dragapult v2</t>
        </is>
      </c>
      <c r="G8" s="50" t="inlineStr">
        <is>
          <t>Dhelmise Banette</t>
        </is>
      </c>
    </row>
    <row r="9">
      <c r="A9" s="0" t="inlineStr">
        <is>
          <t>Ragingbolt ex Ogerpon ex</t>
        </is>
      </c>
      <c r="F9" s="50" t="inlineStr">
        <is>
          <t>Grimmsnarl v1</t>
        </is>
      </c>
      <c r="G9" s="50" t="inlineStr">
        <is>
          <t>Doublade</t>
        </is>
      </c>
    </row>
    <row r="10">
      <c r="F10" s="0" t="inlineStr">
        <is>
          <t>Mele v1</t>
        </is>
      </c>
      <c r="G10" s="50" t="inlineStr">
        <is>
          <t>Dragapult ex</t>
        </is>
      </c>
    </row>
    <row r="11">
      <c r="F11" s="0" t="inlineStr">
        <is>
          <t>PultNoir v1</t>
        </is>
      </c>
      <c r="G11" s="50" t="inlineStr">
        <is>
          <t>Dragapult ex Blaziken ex</t>
        </is>
      </c>
    </row>
    <row r="12">
      <c r="F12" s="0" t="inlineStr">
        <is>
          <t>ZamNoir</t>
        </is>
      </c>
      <c r="G12" s="50" t="inlineStr">
        <is>
          <t>Dragapult ex Dusknoir</t>
        </is>
      </c>
    </row>
    <row r="13">
      <c r="G13" s="50" t="inlineStr">
        <is>
          <t>Garchomp ex</t>
        </is>
      </c>
    </row>
    <row r="14">
      <c r="G14" s="50" t="inlineStr">
        <is>
          <t>Grimmsnarl ex Froslass</t>
        </is>
      </c>
    </row>
    <row r="15">
      <c r="G15" s="50" t="inlineStr">
        <is>
          <t>Honchkrow Porygon2</t>
        </is>
      </c>
    </row>
    <row r="16">
      <c r="G16" s="50" t="inlineStr">
        <is>
          <t>Hydraigon ex</t>
        </is>
      </c>
    </row>
    <row r="17">
      <c r="G17" s="50" t="inlineStr">
        <is>
          <t>Hydrapple ex Ogerpon ex</t>
        </is>
      </c>
    </row>
    <row r="18">
      <c r="G18" s="50" t="inlineStr">
        <is>
          <t>MegaChandelure ex</t>
        </is>
      </c>
    </row>
    <row r="19">
      <c r="G19" s="50" t="inlineStr">
        <is>
          <t>MegaCharizard ex Oricorio</t>
        </is>
      </c>
    </row>
    <row r="20">
      <c r="G20" s="50" t="inlineStr">
        <is>
          <t>MegaDarkrai ex</t>
        </is>
      </c>
    </row>
    <row r="21" ht="15.75" customHeight="1" s="54">
      <c r="G21" s="50" t="inlineStr">
        <is>
          <t>MegaExcadrill ex</t>
        </is>
      </c>
    </row>
    <row r="22" ht="15.75" customHeight="1" s="54">
      <c r="G22" s="50" t="inlineStr">
        <is>
          <t>MegaFroslass ex Chandelure</t>
        </is>
      </c>
    </row>
    <row r="23" ht="15.75" customHeight="1" s="54">
      <c r="G23" s="50" t="inlineStr">
        <is>
          <t>MegaGreninja ex Blaziken</t>
        </is>
      </c>
    </row>
    <row r="24" ht="15.75" customHeight="1" s="54">
      <c r="G24" s="50" t="inlineStr">
        <is>
          <t>MegaGreninja ex Drakloak</t>
        </is>
      </c>
    </row>
    <row r="25" ht="15.75" customHeight="1" s="54">
      <c r="G25" s="50" t="inlineStr">
        <is>
          <t>MegaGreninja ex Dudunsparce</t>
        </is>
      </c>
    </row>
    <row r="26" ht="15.75" customHeight="1" s="54">
      <c r="G26" s="50" t="inlineStr">
        <is>
          <t>MegaKangaskhan ex Bouffalant</t>
        </is>
      </c>
    </row>
    <row r="27" ht="15.75" customHeight="1" s="54">
      <c r="G27" s="50" t="inlineStr">
        <is>
          <t>MegaLopunny ex</t>
        </is>
      </c>
    </row>
    <row r="28" ht="15.75" customHeight="1" s="54">
      <c r="G28" s="50" t="inlineStr">
        <is>
          <t>MegaLucario ex</t>
        </is>
      </c>
    </row>
    <row r="29" ht="15.75" customHeight="1" s="54">
      <c r="G29" s="50" t="inlineStr">
        <is>
          <t>MegaMagnetric ex Eelektrik</t>
        </is>
      </c>
    </row>
    <row r="30" ht="15.75" customHeight="1" s="54">
      <c r="G30" s="50" t="inlineStr">
        <is>
          <t>MegaSharpedo ex</t>
        </is>
      </c>
    </row>
    <row r="31" ht="15.75" customHeight="1" s="54">
      <c r="G31" s="50" t="inlineStr">
        <is>
          <t>MegaStarmie ex Dragapult</t>
        </is>
      </c>
    </row>
    <row r="32" ht="15.75" customHeight="1" s="54">
      <c r="G32" s="50" t="inlineStr">
        <is>
          <t>MegaStarmie ex Dusknoir</t>
        </is>
      </c>
    </row>
    <row r="33" ht="15.75" customHeight="1" s="54">
      <c r="G33" s="50" t="inlineStr">
        <is>
          <t>Metagross ex</t>
        </is>
      </c>
    </row>
    <row r="34" ht="15.75" customHeight="1" s="54">
      <c r="G34" s="50" t="inlineStr">
        <is>
          <t>Mewtwo ex Spidops</t>
        </is>
      </c>
    </row>
    <row r="35" ht="15.75" customHeight="1" s="54">
      <c r="G35" s="50" t="inlineStr">
        <is>
          <t>Pikachu ex box</t>
        </is>
      </c>
    </row>
    <row r="36" ht="15.75" customHeight="1" s="54">
      <c r="G36" s="50" t="inlineStr">
        <is>
          <t>Raging Bolt</t>
        </is>
      </c>
    </row>
    <row r="37" ht="15.75" customHeight="1" s="54">
      <c r="G37" s="50" t="inlineStr">
        <is>
          <t>Slowking</t>
        </is>
      </c>
    </row>
    <row r="38" ht="15.75" customHeight="1" s="54">
      <c r="G38" s="0" t="inlineStr">
        <is>
          <t>Spineferree ex Bastiodon</t>
        </is>
      </c>
    </row>
    <row r="39" ht="15.75" customHeight="1" s="54">
      <c r="G39" s="0" t="inlineStr">
        <is>
          <t>Toucannon Dusknoir</t>
        </is>
      </c>
    </row>
    <row r="40" ht="15.75" customHeight="1" s="54">
      <c r="G40" s="0" t="inlineStr">
        <is>
          <t>Toxtricity box</t>
        </is>
      </c>
    </row>
    <row r="41" ht="15.75" customHeight="1" s="54">
      <c r="G41" s="0" t="inlineStr">
        <is>
          <t>Typhlosion</t>
        </is>
      </c>
    </row>
    <row r="42" ht="15.75" customHeight="1" s="54">
      <c r="G42" s="0" t="inlineStr">
        <is>
          <t>Vileplume ex Ogerpon</t>
        </is>
      </c>
    </row>
    <row r="43" ht="15.75" customHeight="1" s="54">
      <c r="G43" s="0" t="inlineStr">
        <is>
          <t>Zoroark ex</t>
        </is>
      </c>
    </row>
    <row r="44" ht="15.75" customHeight="1" s="54"/>
    <row r="45" ht="15.75" customHeight="1" s="54"/>
    <row r="46" ht="15.75" customHeight="1" s="54"/>
    <row r="47" ht="15.75" customHeight="1" s="54"/>
    <row r="48" ht="15.75" customHeight="1" s="54"/>
    <row r="49" ht="15.75" customHeight="1" s="54"/>
    <row r="50" ht="15.75" customHeight="1" s="54"/>
    <row r="51" ht="15.75" customHeight="1" s="54"/>
    <row r="52" ht="15.75" customHeight="1" s="54"/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4" min="1" max="1"/>
    <col width="26" customWidth="1" style="54" min="2" max="2"/>
    <col width="13" customWidth="1" style="54" min="3" max="3"/>
    <col width="60" customWidth="1" style="54" min="4" max="4"/>
  </cols>
  <sheetData>
    <row r="1">
      <c r="A1" s="55" t="inlineStr">
        <is>
          <t>Nome lista</t>
        </is>
      </c>
      <c r="B1" s="55" t="inlineStr">
        <is>
          <t>Mazzo</t>
        </is>
      </c>
      <c r="C1" s="55" t="inlineStr">
        <is>
          <t>Aggiornata</t>
        </is>
      </c>
      <c r="D1" s="55" t="inlineStr">
        <is>
          <t>Lista</t>
        </is>
      </c>
    </row>
    <row r="2">
      <c r="A2" s="0" t="inlineStr">
        <is>
          <t>BB v1</t>
        </is>
      </c>
      <c r="B2" s="0" t="inlineStr">
        <is>
          <t>Basic Box</t>
        </is>
      </c>
      <c r="C2" s="56" t="n">
        <v>46271</v>
      </c>
      <c r="D2" s="57" t="inlineStr">
        <is>
          <t>Pokémon: 12
3 Meowth ex POR 62
2 Mega Kangaskhan ex MEG 104
2 Latias ex SSP 76
2 Lillie's Clefairy ex JTG 56
2 Teal Mask Ogerpon ex TWM 25
2 Wellspring Mask Ogerpon ex TWM 64
1 Iron Leaves ex TEF 25
1 Chien-Pao SSP 56
1 Fezandipiti ex ASC 142
1 Paldean Tauros SSP 18
1 Pecharunt PR-SV 149
1 Moltres PFL 14
Carte Allenatore: 12
4 Crispin SCR 133
3 Boss's Orders MEG 114
2 Cyrano SSP 170
2 Ciphermaniac's Codebreaking TEF 145
1 Brock's Scouting JTG 146
4 Ultra Ball MEG 131
4 Energy Switch MEG 115
2 Night Stretcher ASC 196
1 Tool Scrapper ASC 212
1 Unfair Stamp TWM 165
2 Lillie's Pearl JTG 151
3 Area Zero Underdepths SCR 131
Energia: 5
5 Basic {G} Energy MEE 1
3 Prism Energy ASC 216
2 Basic {P} Energy MEE 5
1 Basic {W} Energy MEE 3
1 Basic {R} Energy MEE 2
Totale carte: 60</t>
        </is>
      </c>
    </row>
    <row r="3">
      <c r="A3" s="0" t="inlineStr">
        <is>
          <t>PultNoir v1</t>
        </is>
      </c>
      <c r="B3" s="0" t="inlineStr">
        <is>
          <t>Dragapult ex Dusknoir</t>
        </is>
      </c>
      <c r="C3" s="56" t="n">
        <v>46270</v>
      </c>
      <c r="D3" s="57" t="inlineStr">
        <is>
          <t>Pokémon: 11
1 Meowth ex POR 62
1 Dusknoir PRE 37
4 Drakloak TWM 129
4 Dreepy TWM 128
1 Munkidori TWM 95
3 Dragapult ex TWM 130
2 Duskull PRE 35
1 Fezandipiti ex ASC 142
2 Dusclops PRE 36
2 Budew ASC 16
1 Moltres PFL 14
Carte Allenatore: 12
3 Night Stretcher ASC 196
2 Crispin SCR 133
4 Buddy-Buddy Poffin TEF 144
4 Lillie's Determination MEG 119
1 Jamming Tower ASC 261
1 Rosa's Encouragement POR 84
4 Poké Pad POR 81
3 Boss's Orders MEG 114
3 Crushing Hammer POR 71
3 Ultra Ball MEG 131
1 Unfair Stamp TWM 165
1 Dawn PFL 118
Energia: 3
3 Basic {P} Energy MEE 5
2 Basic {D} Energy MEE 7
3 Basic {R} Energy MEE 2
Totale carte: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2026-08-27T05:41:19Z</dcterms:created>
  <dcterms:modified xsi:type="dcterms:W3CDTF">2026-09-10T08:08:10Z</dcterms:modified>
</cp:coreProperties>
</file>