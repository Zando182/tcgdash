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gimi" sheetId="1" r:id="rId4"/>
    <sheet state="visible" name="Match" sheetId="2" r:id="rId5"/>
    <sheet state="visible" name="Dashboard" sheetId="3" r:id="rId6"/>
    <sheet state="visible" name="Matrice Matchup" sheetId="4" r:id="rId7"/>
    <sheet state="visible" name="Grimmsnarl ex Frosslass" sheetId="5" r:id="rId8"/>
    <sheet state="visible" name="Dragapult ex" sheetId="6" r:id="rId9"/>
    <sheet state="visible" name="Area Della Festa" sheetId="7" r:id="rId10"/>
    <sheet state="visible" name="Ragingbolt ex Ogerpon ex" sheetId="8" r:id="rId11"/>
    <sheet state="visible" name="Dragapult ex Blaziken ex" sheetId="9" r:id="rId12"/>
    <sheet state="visible" name="Liste" sheetId="10" r:id="rId13"/>
  </sheets>
  <definedNames/>
  <calcPr/>
  <extLst>
    <ext uri="GoogleSheetsCustomDataVersion2">
      <go:sheetsCustomData xmlns:go="http://customooxmlschemas.google.com/" r:id="rId14" roundtripDataChecksum="3PuqlDEC18M39A4l9zMAVNuA2ssCrxgqd/1atI1ZZ3U="/>
    </ext>
  </extLst>
</workbook>
</file>

<file path=xl/sharedStrings.xml><?xml version="1.0" encoding="utf-8"?>
<sst xmlns="http://schemas.openxmlformats.org/spreadsheetml/2006/main" count="1293" uniqueCount="176">
  <si>
    <t>📘 LEGGIMI — Come usare questo file</t>
  </si>
  <si>
    <t>#</t>
  </si>
  <si>
    <t>🗂️  Struttura del file</t>
  </si>
  <si>
    <t>🧩  Matrice Matchup — Winrate per Decklist contro ogni Avversario</t>
  </si>
  <si>
    <t>• Dashboard — panoramica comparativa di tutti i deck (partite, vittorie, winrate, winrate 1°/2°) con grafici.</t>
  </si>
  <si>
    <t>• Matrice Matchup — tabella incrociata: per ogni Avversario (righe) e ogni DeckList (colonne) mostra il winrate; a destra la stessa tabella ma con il numero di partite giocate, per capire quanto è affidabile ogni percentuale.</t>
  </si>
  <si>
    <t>Data</t>
  </si>
  <si>
    <t>• Match — il registro di TUTTE le partite giocate. È l'unico foglio dove vanno inserite le nuove partite.</t>
  </si>
  <si>
    <t>• Una scheda per ogni deck (es. "Dragapult ex") — statistiche dettagliate e grafici solo per quel deck.</t>
  </si>
  <si>
    <t>Formato</t>
  </si>
  <si>
    <t>• Liste (nascosto) — contiene gli elenchi usati dai menu a tendina e dalle statistiche. Serve aprirlo per inserire parametri nuovi, non è obbligatorio, ma ti segnala se un valore non è presente (quindi potrebbe richiedere azioni manuali)</t>
  </si>
  <si>
    <t>Deck</t>
  </si>
  <si>
    <t>DeckList</t>
  </si>
  <si>
    <t>➕  Come aggiungere una nuova partita</t>
  </si>
  <si>
    <t>🔢  Numero di Partite (contesto per il winrate a sinistra)</t>
  </si>
  <si>
    <t>Deck Avversario</t>
  </si>
  <si>
    <t>1. Vai sul foglio "Match" e scrivi la nuova riga subito sotto l'ultima partita registrata.</t>
  </si>
  <si>
    <t>2. Compila le colonne A-K come sempre (#, Data, Formato, Deck, DeckList, Deck Avversario, 1°/2°, Risultato, TAG, Torneo, Note) Anche partendo dalla copia di una riga precendete)</t>
  </si>
  <si>
    <t>3. Per Deck, Formato, Torneo, Risultato (W/L) e Turno (1/2) trovi un menu a tendina: usalo per evitare errori di battitura (un nome scritto in modo diverso — es. "TCGLive" vs "TCGLIve" — falserebbe le statistiche).</t>
  </si>
  <si>
    <t>4. Le colonne L-R (Esito, Partita # Deck, Winrate cumulato, Turno, Mese...) si aggiornano da sole: non toccarle, sono formule.</t>
  </si>
  <si>
    <t>1°/2°</t>
  </si>
  <si>
    <t>5. Tutte le tabelle e i grafici (nel foglio del deck e nella Dashboard) si aggiornano automaticamente: non serve fare nulla altro.</t>
  </si>
  <si>
    <t>Risultato</t>
  </si>
  <si>
    <t>🆕  Come aggiungere un DECK nuovo</t>
  </si>
  <si>
    <t>Ogni cella mostra il winrate di quella DeckList contro quell'avversario. Guarda anche la tabella "Numero di Partite" più a destra prima di trarre conclusioni da percentuali basate su pochissime partite. Le due colonne vuote prima di "Totale" sono pronte per nuove DeckList future: scrivi il nome nell'intestazione (riga 5).</t>
  </si>
  <si>
    <t>TAG</t>
  </si>
  <si>
    <t>1. Apri il foglio nascosto "Liste" (tasto destro su una scheda → Mostra... oppure clic destro sulle linguette in basso).</t>
  </si>
  <si>
    <t>2. Scrivi il nome del nuovo deck nella prima riga libera della colonna "Deck" (colonna A). Comparirà subito nel menu a tendina della colonna Deck nel foglio Match e nella tabella di confronto della Dashboard.</t>
  </si>
  <si>
    <t>3. Duplica una scheda di un deck esistente (tasto destro sulla linguetta → Sposta/Copia → Crea una copia), rinominala con il nome del nuovo deck, e nella cella T2 di quella scheda scrivi il nome ESATTO del deck (deve corrispondere a quello scritto nel foglio Match, lettera per lettera). Tutte le formule della scheda si aggiorneranno da sole.</t>
  </si>
  <si>
    <t>Avversario \ DeckList</t>
  </si>
  <si>
    <t>Torneo</t>
  </si>
  <si>
    <t>🆕  Come aggiungere un nuovo Avversario, Formato, Torneo o DeckList</t>
  </si>
  <si>
    <t>Note</t>
  </si>
  <si>
    <t>• Nuovo avversario: nella scheda del deck, sezione "Winrate per Matchup", scrivi il nome dell'avversario nella prima riga vuota della tabella: partite, vittorie, sconfitte e winrate si calcolano da soli. Per farlo comparire anche nel menu a tendina della colonna "Deck Avversario" e nella Matrice Matchup, aggiungilo anche nel foglio "Liste", colonna G.</t>
  </si>
  <si>
    <t>Grimmsnarl v1</t>
  </si>
  <si>
    <t>• Nuova DeckList (variante di un mazzo, es. "Dragapult v2"): aggiungila nel foglio "Liste", colonna F — comparirà nel menu a tendina della colonna DeckList e come nuova colonna disponibile nella Matrice Matchup.</t>
  </si>
  <si>
    <t>Esito (1=W / 0=L)</t>
  </si>
  <si>
    <t>• Nuovo formato (es. quando esce un nuovo set e cambia il formato competitivo): aggiungilo nel foglio "Liste", colonna B, e nella sezione "Winrate per Formato" di ciascuna scheda deck (prima riga vuota della tabella).</t>
  </si>
  <si>
    <t>Dragapult v1</t>
  </si>
  <si>
    <t>• Nuovo torneo/piattaforma: aggiungilo nel foglio "Liste", colonna C — comparirà nel menu a tendina della colonna Torneo.</t>
  </si>
  <si>
    <t>Partita # Deck</t>
  </si>
  <si>
    <t>📈  Come leggere i grafici in ogni scheda deck</t>
  </si>
  <si>
    <t>Dragapult v2</t>
  </si>
  <si>
    <t>Chiave Deck</t>
  </si>
  <si>
    <t>• Vittorie vs Sconfitte — la proporzione complessiva di partite vinte e perse con questo deck.</t>
  </si>
  <si>
    <t>• Winrate per Matchup — quali avversari il deck batte più facilmente e contro quali fatica di più.</t>
  </si>
  <si>
    <t>Bolt v1</t>
  </si>
  <si>
    <t>Vittorie cumulate Deck</t>
  </si>
  <si>
    <t>• Andamento del Winrate nel Tempo — il winrate cumulato partita dopo partita: una linea che sale nel tempo indica che il mazzo (o il modo di giocarlo) sta migliorando; un calo segnala un periodo difficile o un matchup sfavorevole ricorrente.</t>
  </si>
  <si>
    <t>Mele v1</t>
  </si>
  <si>
    <t>Winrate cumulato Deck</t>
  </si>
  <si>
    <t>🎨  Legenda colori</t>
  </si>
  <si>
    <t>Dragapolli v1</t>
  </si>
  <si>
    <t>• Verde chiaro / testo verde = Vittoria (W).      • Rosso chiaro / testo rosso = Sconfitta (L).</t>
  </si>
  <si>
    <t>Turno</t>
  </si>
  <si>
    <t>Dragapolli v2</t>
  </si>
  <si>
    <t>• Scala di colore rosso→giallo→verde sulle celle di Winrate = più il colore è verde, più alto è il winrate.</t>
  </si>
  <si>
    <t>Mese</t>
  </si>
  <si>
    <t>💡  Suggerimenti</t>
  </si>
  <si>
    <t>Dragapolli v3</t>
  </si>
  <si>
    <t>• Non cancellare o spostare le colonne L-R nel foglio Match, la cella T2 in ogni scheda deck, o il foglio "Liste": sono la "nervatura" che fa funzionare automaticamente tutte le statistiche e i grafici.</t>
  </si>
  <si>
    <t>• Se una statistica mostra 0% o appare vuota è normale finché non ci sono ancora partite che soddisfano quella condizione.</t>
  </si>
  <si>
    <t>Totale</t>
  </si>
  <si>
    <t>• Puoi rinominare le schede dei deck come preferisci: le formule usano il nome scritto nella cella T2 di ciascuna scheda, non il nome della linguetta.</t>
  </si>
  <si>
    <t>TEF-PBL</t>
  </si>
  <si>
    <t>Grimmsnarl ex Froslass</t>
  </si>
  <si>
    <t>Vileplume ex Ogerpon</t>
  </si>
  <si>
    <t>W</t>
  </si>
  <si>
    <t>Good Opening, Lucky Win</t>
  </si>
  <si>
    <t>TCGLive</t>
  </si>
  <si>
    <t>Doppio Frosslass, può essere molto fastidioso se fa doppio Vileplume che cura 60 da tutti</t>
  </si>
  <si>
    <t>Dragapult ex</t>
  </si>
  <si>
    <t>Good Opening</t>
  </si>
  <si>
    <t>MegaStarmie ex Dusknoir</t>
  </si>
  <si>
    <t>Bad Opening</t>
  </si>
  <si>
    <t>MegaCharizard ex Oricorio</t>
  </si>
  <si>
    <t>Easy Matchup</t>
  </si>
  <si>
    <t>MegaLucario ex</t>
  </si>
  <si>
    <t>L</t>
  </si>
  <si>
    <t>Bad Opening, Bad Draw</t>
  </si>
  <si>
    <t>Zoroark ex</t>
  </si>
  <si>
    <t>Doppio Froslass, devi sperare non faccia darmanitan e vinci</t>
  </si>
  <si>
    <t>📊 Dashboard Generale — Tutti i Deck</t>
  </si>
  <si>
    <t>Alakazam Dudunsparce</t>
  </si>
  <si>
    <t>NomeDeckUfficiale</t>
  </si>
  <si>
    <t>📊 Grimmsnarl ex Froslass</t>
  </si>
  <si>
    <t>Partite Totali (tutti i deck)</t>
  </si>
  <si>
    <t>📌  Riepilogo Generale</t>
  </si>
  <si>
    <t>🗂  Winrate per Formato</t>
  </si>
  <si>
    <t>Partite Totali</t>
  </si>
  <si>
    <t>Winrate Complessivo</t>
  </si>
  <si>
    <t>Slowking</t>
  </si>
  <si>
    <t>MegaExcadrill ex</t>
  </si>
  <si>
    <t>Unlucky</t>
  </si>
  <si>
    <t>Deck Attivi</t>
  </si>
  <si>
    <t>Partite</t>
  </si>
  <si>
    <t>Vittorie</t>
  </si>
  <si>
    <t>Sconfitte</t>
  </si>
  <si>
    <t>Winrate</t>
  </si>
  <si>
    <t>🏆  Confronto tra Deck</t>
  </si>
  <si>
    <t>Bad Start</t>
  </si>
  <si>
    <t>Doppio froslass puoi ignorare mega excadrill</t>
  </si>
  <si>
    <t>Winrate da 1°</t>
  </si>
  <si>
    <t>Winrate da 2°</t>
  </si>
  <si>
    <t>Spineferree ex Bastiodon</t>
  </si>
  <si>
    <t>Carica preventivamente Grimm</t>
  </si>
  <si>
    <t>Area Della Festa</t>
  </si>
  <si>
    <t>Doppio froslass tieni 1 premio di board</t>
  </si>
  <si>
    <t>Winrate Totale</t>
  </si>
  <si>
    <t>Partite da 1°</t>
  </si>
  <si>
    <t>Non mettere mai budew soprattutto se si è già settato, forse da secondo si</t>
  </si>
  <si>
    <t>Toucannon Dusknoir</t>
  </si>
  <si>
    <t>Servono 13 pokemon per fare 320, attento quindi ai froslass</t>
  </si>
  <si>
    <t>Partite da 2°</t>
  </si>
  <si>
    <t>MegaStarmie ex Dragapult</t>
  </si>
  <si>
    <t>⚔️  Winrate per Matchup (Deck Avversario)</t>
  </si>
  <si>
    <t>🎲  Winrate per Turno</t>
  </si>
  <si>
    <t>Avversario</t>
  </si>
  <si>
    <t>Honchkrow Porygon2</t>
  </si>
  <si>
    <t>1° (inizia)</t>
  </si>
  <si>
    <t>Dhelmise Banette</t>
  </si>
  <si>
    <t>MegaFroslass ex Chandelure</t>
  </si>
  <si>
    <t>2° (risponde)</t>
  </si>
  <si>
    <t>Good start</t>
  </si>
  <si>
    <t>Garchomp ex</t>
  </si>
  <si>
    <t>Bad start</t>
  </si>
  <si>
    <t>Typhlosion</t>
  </si>
  <si>
    <t>Con 3 ethan victini e brave bangle ti uccidono 320</t>
  </si>
  <si>
    <t>Bad Luck</t>
  </si>
  <si>
    <t>MegaGreninja ex Blaziken</t>
  </si>
  <si>
    <t>Puoi non mettere frosslass, doppio grimm il resto munki</t>
  </si>
  <si>
    <t>Dragapult ex Dusknoir</t>
  </si>
  <si>
    <t>MegaChandelure ex</t>
  </si>
  <si>
    <t>Mewtwo ex Spidops</t>
  </si>
  <si>
    <t>Doppio frosslass e giocato di budew munkidori, anche trappare funziona</t>
  </si>
  <si>
    <t>Hydrapple ex Ogerpon ex</t>
  </si>
  <si>
    <t>Attento che ha stamp</t>
  </si>
  <si>
    <t>Lucky Win</t>
  </si>
  <si>
    <t>Tieni budew per le play finali quando non può ritirare</t>
  </si>
  <si>
    <t>Molto bene budew all'inizio e yveltal</t>
  </si>
  <si>
    <t>Dragapult ex Blaziken ex</t>
  </si>
  <si>
    <t>MegaDarkrai ex</t>
  </si>
  <si>
    <t>Martello sui munkidori, altrimenti punisci se fa doppio grimm</t>
  </si>
  <si>
    <t>Non è male privarlo degli altri loak se riesci a fare doppio ko</t>
  </si>
  <si>
    <t>Archaludon ex</t>
  </si>
  <si>
    <t>Ragingbolt ex Ogerpon ex</t>
  </si>
  <si>
    <t>Ricordati di ritirare manualmente per kanga per pescare, attento a yveltal</t>
  </si>
  <si>
    <t>Friendly</t>
  </si>
  <si>
    <t>Hydraigon ex</t>
  </si>
  <si>
    <t>Doublade</t>
  </si>
  <si>
    <t>Prioritizza ogerpon</t>
  </si>
  <si>
    <t>Potevi mettere un kanga pulito alla fine sperando non avesse boss</t>
  </si>
  <si>
    <t>Giocata di mega kanga</t>
  </si>
  <si>
    <t>Toxtricity box</t>
  </si>
  <si>
    <t>Attento a non lasciare troppi danni in giro</t>
  </si>
  <si>
    <t>Raging Bolt</t>
  </si>
  <si>
    <t>Importanti le stadio + timbro + cartellino</t>
  </si>
  <si>
    <t>Da controllare di avere sempre le energie negli scarti, sia tue che sue, ho vinto per quello, boss su blaziken!</t>
  </si>
  <si>
    <t>Clafairy ex</t>
  </si>
  <si>
    <t>Soffre timbro senza prendere ko</t>
  </si>
  <si>
    <t>MegaLopunny ex</t>
  </si>
  <si>
    <t>Ottima la torre dopo lo stamp, attento a lino</t>
  </si>
  <si>
    <t>Ti basta un turno dove fai doppio ko di rovine</t>
  </si>
  <si>
    <t>Devi provare il doppio zoroark ko</t>
  </si>
  <si>
    <t>Metagross ex</t>
  </si>
  <si>
    <t>Bronzong Dusknoir</t>
  </si>
  <si>
    <t>Parti primo</t>
  </si>
  <si>
    <t>📊 Dragapult ex</t>
  </si>
  <si>
    <t>Good Start</t>
  </si>
  <si>
    <t>MegaKangaskhan ex Bouffalant</t>
  </si>
  <si>
    <t>Valuta attaccare di munkidori se non riesci di pult</t>
  </si>
  <si>
    <t>Bad Draw</t>
  </si>
  <si>
    <t>📊 Area Della Festa</t>
  </si>
  <si>
    <t>📊 Ragingbolt ex Ogerpon ex</t>
  </si>
  <si>
    <t>📊 Dragapult ex Blaziken ex</t>
  </si>
  <si>
    <t>Avversario (per frequenza)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</si>
</sst>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0.0%"/>
  </numFmts>
  <fonts count="17">
    <font>
      <sz val="10.0"/>
      <color rgb="FF000000"/>
      <name val="Arial"/>
      <scheme val="minor"/>
    </font>
    <font>
      <b/>
      <sz val="20.0"/>
      <color rgb="FFFFFFFF"/>
      <name val="Arial"/>
    </font>
    <font>
      <b/>
      <sz val="13.0"/>
      <color rgb="FFFFFFFF"/>
      <name val="Arial"/>
    </font>
    <font>
      <b/>
      <sz val="11.0"/>
      <color rgb="FFFFFFFF"/>
      <name val="Arial"/>
    </font>
    <font>
      <sz val="11.0"/>
      <color rgb="FF000000"/>
      <name val="Arial"/>
    </font>
    <font>
      <b/>
      <sz val="16.0"/>
      <color rgb="FFFFFFFF"/>
      <name val="Arial"/>
    </font>
    <font/>
    <font>
      <i/>
      <sz val="9.0"/>
      <color rgb="FF808080"/>
      <name val="Arial"/>
    </font>
    <font>
      <b/>
      <sz val="10.0"/>
      <color rgb="FFFFFFFF"/>
      <name val="Arial"/>
    </font>
    <font>
      <sz val="11.0"/>
      <color theme="1"/>
      <name val="Arial"/>
    </font>
    <font>
      <sz val="10.0"/>
      <color rgb="FF000000"/>
      <name val="Arial"/>
    </font>
    <font>
      <b/>
      <sz val="11.0"/>
      <color rgb="FF000000"/>
      <name val="Arial"/>
    </font>
    <font>
      <b/>
      <sz val="18.0"/>
      <color rgb="FFFFFFFF"/>
      <name val="Arial"/>
    </font>
    <font>
      <i/>
      <sz val="8.0"/>
      <color rgb="FF000000"/>
      <name val="Arial"/>
    </font>
    <font>
      <b/>
      <sz val="13.0"/>
      <color rgb="FF1F3864"/>
      <name val="Arial"/>
    </font>
    <font>
      <b/>
      <sz val="12.0"/>
      <color rgb="FF1F3864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BF8F00"/>
        <bgColor rgb="FFBF8F00"/>
      </patternFill>
    </fill>
    <fill>
      <patternFill patternType="solid">
        <fgColor rgb="FFF2F2F2"/>
        <bgColor rgb="FFF2F2F2"/>
      </patternFill>
    </fill>
  </fills>
  <borders count="6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2" numFmtId="0" xfId="0" applyAlignment="1" applyBorder="1" applyFill="1" applyFont="1">
      <alignment horizontal="left" shrinkToFit="0" vertical="center" wrapText="0"/>
    </xf>
    <xf borderId="2" fillId="2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left" shrinkToFit="0" vertical="top" wrapText="1"/>
    </xf>
    <xf borderId="3" fillId="2" fontId="5" numFmtId="0" xfId="0" applyAlignment="1" applyBorder="1" applyFill="1" applyFont="1">
      <alignment horizontal="left" shrinkToFit="0" vertical="center" wrapText="1"/>
    </xf>
    <xf borderId="4" fillId="0" fontId="6" numFmtId="0" xfId="0" applyBorder="1" applyFont="1"/>
    <xf borderId="0" fillId="0" fontId="4" numFmtId="0" xfId="0" applyAlignment="1" applyFont="1">
      <alignment horizontal="left" readingOrder="0" shrinkToFit="0" vertical="top" wrapText="1"/>
    </xf>
    <xf borderId="5" fillId="0" fontId="6" numFmtId="0" xfId="0" applyBorder="1" applyFont="1"/>
    <xf borderId="3" fillId="4" fontId="2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1"/>
    </xf>
    <xf borderId="2" fillId="2" fontId="8" numFmtId="0" xfId="0" applyAlignment="1" applyBorder="1" applyFill="1" applyFont="1">
      <alignment horizontal="center" shrinkToFit="0" vertical="center" wrapText="1"/>
    </xf>
    <xf borderId="2" fillId="3" fontId="8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3" fontId="8" numFmtId="0" xfId="0" applyAlignment="1" applyBorder="1" applyFill="1" applyFont="1">
      <alignment horizontal="center" readingOrder="0" shrinkToFit="0" vertical="center" wrapText="1"/>
    </xf>
    <xf borderId="1" fillId="2" fontId="8" numFmtId="0" xfId="0" applyAlignment="1" applyBorder="1" applyFill="1" applyFont="1">
      <alignment horizontal="center" shrinkToFit="0" vertical="center" wrapText="1"/>
    </xf>
    <xf borderId="1" fillId="5" fontId="9" numFmtId="0" xfId="0" applyAlignment="1" applyBorder="1" applyFill="1" applyFont="1">
      <alignment shrinkToFit="0" vertical="bottom" wrapText="0"/>
    </xf>
    <xf borderId="1" fillId="5" fontId="9" numFmtId="164" xfId="0" applyAlignment="1" applyBorder="1" applyFill="1" applyFont="1" applyNumberFormat="1">
      <alignment shrinkToFit="0" vertical="bottom" wrapText="0"/>
    </xf>
    <xf borderId="2" fillId="4" fontId="8" numFmtId="0" xfId="0" applyAlignment="1" applyBorder="1" applyFill="1" applyFont="1">
      <alignment horizontal="center" shrinkToFit="0" vertical="center" wrapText="1"/>
    </xf>
    <xf borderId="2" fillId="0" fontId="10" numFmtId="0" xfId="0" applyAlignment="1" applyBorder="1" applyFont="1">
      <alignment horizontal="left" shrinkToFit="0" vertical="center" wrapText="1"/>
    </xf>
    <xf borderId="1" fillId="5" fontId="4" numFmtId="0" xfId="0" applyAlignment="1" applyBorder="1" applyFill="1" applyFont="1">
      <alignment shrinkToFit="0" vertical="bottom" wrapText="0"/>
    </xf>
    <xf borderId="2" fillId="0" fontId="10" numFmtId="9" xfId="0" applyAlignment="1" applyBorder="1" applyFont="1" applyNumberFormat="1">
      <alignment horizontal="center" shrinkToFit="0" vertical="center" wrapText="1"/>
    </xf>
    <xf borderId="1" fillId="5" fontId="10" numFmtId="165" xfId="0" applyAlignment="1" applyBorder="1" applyFill="1" applyFont="1" applyNumberForma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164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10" numFmtId="165" xfId="0" applyAlignment="1" applyFont="1" applyNumberFormat="1">
      <alignment shrinkToFit="0" vertical="bottom" wrapText="0"/>
    </xf>
    <xf borderId="1" fillId="5" fontId="10" numFmtId="0" xfId="0" applyAlignment="1" applyBorder="1" applyFill="1" applyFont="1">
      <alignment shrinkToFit="0" vertical="bottom" wrapText="0"/>
    </xf>
    <xf borderId="2" fillId="0" fontId="11" numFmtId="9" xfId="0" applyAlignment="1" applyBorder="1" applyFont="1" applyNumberForma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3" fillId="2" fontId="12" numFmtId="0" xfId="0" applyAlignment="1" applyBorder="1" applyFill="1" applyFont="1">
      <alignment horizontal="left" shrinkToFit="0" vertical="center" wrapText="1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7" numFmtId="165" xfId="0" applyAlignment="1" applyFont="1" applyNumberFormat="1">
      <alignment shrinkToFit="0" vertical="bottom" wrapText="0"/>
    </xf>
    <xf borderId="3" fillId="3" fontId="2" numFmtId="0" xfId="0" applyAlignment="1" applyBorder="1" applyFill="1" applyFont="1">
      <alignment horizontal="left" shrinkToFit="0" vertical="center" wrapText="1"/>
    </xf>
    <xf borderId="0" fillId="0" fontId="14" numFmtId="0" xfId="0" applyAlignment="1" applyFont="1">
      <alignment shrinkToFit="0" vertical="bottom" wrapText="0"/>
    </xf>
    <xf borderId="2" fillId="0" fontId="11" numFmtId="0" xfId="0" applyAlignment="1" applyBorder="1" applyFont="1">
      <alignment horizontal="left" shrinkToFit="0" vertical="center" wrapText="1"/>
    </xf>
    <xf borderId="2" fillId="0" fontId="11" numFmtId="0" xfId="0" applyAlignment="1" applyBorder="1" applyFont="1">
      <alignment horizontal="center" shrinkToFit="0" vertical="center" wrapText="1"/>
    </xf>
    <xf borderId="0" fillId="0" fontId="14" numFmtId="165" xfId="0" applyAlignment="1" applyFont="1" applyNumberFormat="1">
      <alignment shrinkToFit="0" vertical="bottom" wrapText="0"/>
    </xf>
    <xf borderId="2" fillId="0" fontId="15" numFmtId="0" xfId="0" applyAlignment="1" applyBorder="1" applyFont="1">
      <alignment horizontal="center" shrinkToFit="0" vertical="center" wrapText="1"/>
    </xf>
    <xf borderId="2" fillId="0" fontId="10" numFmtId="165" xfId="0" applyAlignment="1" applyBorder="1" applyFont="1" applyNumberFormat="1">
      <alignment horizontal="center" shrinkToFit="0" vertical="center" wrapText="1"/>
    </xf>
    <xf borderId="2" fillId="0" fontId="15" numFmtId="165" xfId="0" applyAlignment="1" applyBorder="1" applyFont="1" applyNumberFormat="1">
      <alignment horizontal="center" shrinkToFit="0" vertical="center" wrapText="1"/>
    </xf>
    <xf borderId="1" fillId="5" fontId="9" numFmtId="164" xfId="0" applyAlignment="1" applyBorder="1" applyFill="1" applyFont="1" applyNumberFormat="1">
      <alignment readingOrder="0" shrinkToFit="0" vertical="bottom" wrapText="0"/>
    </xf>
    <xf borderId="1" fillId="5" fontId="9" numFmtId="164" xfId="0" applyAlignment="1" applyBorder="1" applyFill="1" applyFont="1" applyNumberFormat="1">
      <alignment horizontal="right" shrinkToFit="0" vertical="bottom" wrapText="0"/>
    </xf>
    <xf borderId="1" fillId="5" fontId="9" numFmtId="0" xfId="0" applyAlignment="1" applyBorder="1" applyFill="1" applyFont="1">
      <alignment readingOrder="0" shrinkToFit="0" vertical="bottom" wrapText="0"/>
    </xf>
    <xf borderId="1" fillId="5" fontId="9" numFmtId="0" xfId="0" applyAlignment="1" applyBorder="1" applyFill="1" applyFont="1">
      <alignment horizontal="right" shrinkToFit="0" vertical="bottom" wrapText="0"/>
    </xf>
    <xf borderId="1" fillId="5" fontId="9" numFmtId="165" xfId="0" applyAlignment="1" applyBorder="1" applyFill="1" applyFont="1" applyNumberFormat="1">
      <alignment shrinkToFit="0" vertical="bottom" wrapText="0"/>
    </xf>
    <xf borderId="0" fillId="0" fontId="16" numFmtId="0" xfId="0" applyFont="1"/>
    <xf borderId="0" fillId="0" fontId="9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0" fontId="16" numFmtId="0" xfId="0" applyAlignment="1" applyFont="1">
      <alignment readingOrder="0"/>
    </xf>
    <xf borderId="1" fillId="2" fontId="3" numFmtId="0" xfId="0" applyAlignment="1" applyBorder="1" applyFill="1" applyFont="1">
      <alignment horizontal="left" shrinkToFit="0" vertical="center" wrapText="1"/>
    </xf>
    <xf borderId="0" fillId="0" fontId="16" numFmtId="0" xfId="0" applyAlignment="1" applyFont="1">
      <alignment horizontal="left"/>
    </xf>
    <xf borderId="2" fillId="0" fontId="10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2">
    <dxf>
      <font>
        <b/>
        <color rgb="FF2E7D32"/>
        <name val="Arial"/>
      </font>
      <fill>
        <patternFill patternType="solid">
          <fgColor rgb="FFE2F0D9"/>
          <bgColor rgb="FFE2F0D9"/>
        </patternFill>
      </fill>
      <border/>
    </dxf>
    <dxf>
      <font>
        <b/>
        <color rgb="FFC00000"/>
        <name val="Arial"/>
      </font>
      <fill>
        <patternFill patternType="solid">
          <fgColor rgb="FFFBE2E2"/>
          <bgColor rgb="FFFBE2E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Winrate per Deck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Winrate</c:v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Dashboard!$B$8:$B$12</c:f>
            </c:strRef>
          </c:cat>
          <c:val>
            <c:numRef>
              <c:f>Dashboard!$F$8:$F$12</c:f>
              <c:numCache/>
            </c:numRef>
          </c:val>
        </c:ser>
        <c:axId val="1229984629"/>
        <c:axId val="39403533"/>
      </c:barChart>
      <c:catAx>
        <c:axId val="122998462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39403533"/>
      </c:catAx>
      <c:valAx>
        <c:axId val="39403533"/>
        <c:scaling>
          <c:orientation val="minMax"/>
          <c:max val="1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229984629"/>
        <c:crosses val="max"/>
      </c:valAx>
    </c:plotArea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Partite Giocate per Deck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Partite</c:v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Dashboard!$B$8:$B$12</c:f>
            </c:strRef>
          </c:cat>
          <c:val>
            <c:numRef>
              <c:f>Dashboard!$C$8:$C$12</c:f>
              <c:numCache/>
            </c:numRef>
          </c:val>
        </c:ser>
        <c:axId val="973386581"/>
        <c:axId val="842248119"/>
      </c:barChart>
      <c:catAx>
        <c:axId val="9733865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42248119"/>
      </c:catAx>
      <c:valAx>
        <c:axId val="8422481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973386581"/>
      </c:valAx>
    </c:plotArea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Vittorie vs Sconfitte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'Grimmsnarl ex Frosslass'!$B$6:$B$7</c:f>
            </c:strRef>
          </c:cat>
          <c:val>
            <c:numRef>
              <c:f>'Grimmsnarl ex Frosslass'!$C$6:$C$7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Winrate per Matchup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Winrate</c:v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'Grimmsnarl ex Frosslass'!$B$17:$B$36</c:f>
            </c:strRef>
          </c:cat>
          <c:val>
            <c:numRef>
              <c:f>'Grimmsnarl ex Frosslass'!$F$17:$F$36</c:f>
              <c:numCache/>
            </c:numRef>
          </c:val>
        </c:ser>
        <c:axId val="112829911"/>
        <c:axId val="1288967944"/>
      </c:barChart>
      <c:catAx>
        <c:axId val="11282991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288967944"/>
      </c:catAx>
      <c:valAx>
        <c:axId val="1288967944"/>
        <c:scaling>
          <c:orientation val="minMax"/>
          <c:max val="1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Arial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Arial"/>
                  </a:rPr>
                  <a:t>Winrate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12829911"/>
        <c:crosses val="max"/>
      </c:valAx>
    </c:plotArea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Vittorie vs Sconfitte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'Dragapult ex'!$B$6:$B$7</c:f>
            </c:strRef>
          </c:cat>
          <c:val>
            <c:numRef>
              <c:f>'Dragapult ex'!$C$6:$C$7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Winrate per Matchup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Winrate</c:v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'Dragapult ex'!$B$17:$B$32</c:f>
            </c:strRef>
          </c:cat>
          <c:val>
            <c:numRef>
              <c:f>'Dragapult ex'!$F$17:$F$32</c:f>
              <c:numCache/>
            </c:numRef>
          </c:val>
        </c:ser>
        <c:axId val="352736856"/>
        <c:axId val="1791871853"/>
      </c:barChart>
      <c:catAx>
        <c:axId val="35273685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791871853"/>
      </c:catAx>
      <c:valAx>
        <c:axId val="1791871853"/>
        <c:scaling>
          <c:orientation val="minMax"/>
          <c:max val="1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Arial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Arial"/>
                  </a:rPr>
                  <a:t>Winrate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352736856"/>
        <c:crosses val="max"/>
      </c:valAx>
    </c:plotArea>
    <c:plotVisOnly val="1"/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Vittorie vs Sconfitte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'Area Della Festa'!$B$6:$B$7</c:f>
            </c:strRef>
          </c:cat>
          <c:val>
            <c:numRef>
              <c:f>'Area Della Festa'!$C$6:$C$7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Winrate per Matchup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Winrate</c:v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'Area Della Festa'!$B$17</c:f>
            </c:strRef>
          </c:cat>
          <c:val>
            <c:numRef>
              <c:f>'Area Della Festa'!$F$17</c:f>
              <c:numCache/>
            </c:numRef>
          </c:val>
        </c:ser>
        <c:axId val="425780820"/>
        <c:axId val="1613542199"/>
      </c:barChart>
      <c:catAx>
        <c:axId val="42578082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13542199"/>
      </c:catAx>
      <c:valAx>
        <c:axId val="1613542199"/>
        <c:scaling>
          <c:orientation val="minMax"/>
          <c:max val="1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Arial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Arial"/>
                  </a:rPr>
                  <a:t>Winrate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425780820"/>
        <c:crosses val="max"/>
      </c:valAx>
    </c:plotArea>
    <c:plotVisOnly val="1"/>
  </c:chart>
  <c:spPr>
    <a:solidFill>
      <a:srgbClr val="FFFFFF"/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Vittorie vs Sconfitte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'Ragingbolt ex Ogerpon ex'!$B$6:$B$7</c:f>
            </c:strRef>
          </c:cat>
          <c:val>
            <c:numRef>
              <c:f>'Ragingbolt ex Ogerpon ex'!$C$6:$C$7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  <c:spPr>
    <a:solidFill>
      <a:srgbClr val="FFFFFF"/>
    </a:solidFill>
  </c:spPr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Winrate per Matchup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Winrate</c:v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'Ragingbolt ex Ogerpon ex'!$B$17:$B$23</c:f>
            </c:strRef>
          </c:cat>
          <c:val>
            <c:numRef>
              <c:f>'Ragingbolt ex Ogerpon ex'!$F$17:$F$23</c:f>
              <c:numCache/>
            </c:numRef>
          </c:val>
        </c:ser>
        <c:axId val="460896873"/>
        <c:axId val="94102498"/>
      </c:barChart>
      <c:catAx>
        <c:axId val="46089687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94102498"/>
      </c:catAx>
      <c:valAx>
        <c:axId val="94102498"/>
        <c:scaling>
          <c:orientation val="minMax"/>
          <c:max val="1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Arial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Arial"/>
                  </a:rPr>
                  <a:t>Winrate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460896873"/>
        <c:crosses val="max"/>
      </c:valAx>
    </c:plotArea>
    <c:plotVisOnly val="1"/>
  </c:chart>
  <c:spPr>
    <a:solidFill>
      <a:srgbClr val="FFFFFF"/>
    </a:solidFill>
  </c:spPr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Vittorie vs Sconfitte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'Dragapult ex Blaziken ex'!$B$6:$B$7</c:f>
            </c:strRef>
          </c:cat>
          <c:val>
            <c:numRef>
              <c:f>'Dragapult ex Blaziken ex'!$C$6:$C$7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  <c:spPr>
    <a:solidFill>
      <a:srgbClr val="FFFFFF"/>
    </a:solidFill>
  </c:spPr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Arial"/>
              </a:defRPr>
            </a:pPr>
            <a:r>
              <a:rPr b="1" i="0" sz="1800">
                <a:solidFill>
                  <a:srgbClr val="000000"/>
                </a:solidFill>
                <a:latin typeface="Arial"/>
              </a:rPr>
              <a:t>Winrate per Matchup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Winrate</c:v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'Dragapult ex Blaziken ex'!$B$17:$B$37</c:f>
            </c:strRef>
          </c:cat>
          <c:val>
            <c:numRef>
              <c:f>'Dragapult ex Blaziken ex'!$F$17:$F$34</c:f>
              <c:numCache/>
            </c:numRef>
          </c:val>
        </c:ser>
        <c:axId val="266149428"/>
        <c:axId val="849975100"/>
      </c:barChart>
      <c:catAx>
        <c:axId val="26614942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49975100"/>
      </c:catAx>
      <c:valAx>
        <c:axId val="849975100"/>
        <c:scaling>
          <c:orientation val="minMax"/>
          <c:max val="1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Arial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Arial"/>
                  </a:rPr>
                  <a:t>Winrate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66149428"/>
        <c:crosses val="max"/>
      </c:valAx>
    </c:plotArea>
    <c:plotVisOnly val="1"/>
  </c:chart>
  <c:spPr>
    <a:solidFill>
      <a:srgbClr val="FFFFFF"/>
    </a:solidFill>
  </c:spPr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38</xdr:row>
      <xdr:rowOff>152400</xdr:rowOff>
    </xdr:from>
    <xdr:ext cx="6581775" cy="3019425"/>
    <xdr:graphicFrame>
      <xdr:nvGraphicFramePr>
        <xdr:cNvPr id="4286356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0</xdr:colOff>
      <xdr:row>38</xdr:row>
      <xdr:rowOff>152400</xdr:rowOff>
    </xdr:from>
    <xdr:ext cx="6562725" cy="3019425"/>
    <xdr:graphicFrame>
      <xdr:nvGraphicFramePr>
        <xdr:cNvPr id="475442287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914400</xdr:colOff>
      <xdr:row>20</xdr:row>
      <xdr:rowOff>57150</xdr:rowOff>
    </xdr:from>
    <xdr:ext cx="3867150" cy="2847975"/>
    <xdr:graphicFrame>
      <xdr:nvGraphicFramePr>
        <xdr:cNvPr id="431002400" name="Chart 2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57150</xdr:colOff>
      <xdr:row>38</xdr:row>
      <xdr:rowOff>133350</xdr:rowOff>
    </xdr:from>
    <xdr:ext cx="6210300" cy="4543425"/>
    <xdr:graphicFrame>
      <xdr:nvGraphicFramePr>
        <xdr:cNvPr id="1994682172" name="Chart 4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895350</xdr:colOff>
      <xdr:row>3</xdr:row>
      <xdr:rowOff>66675</xdr:rowOff>
    </xdr:from>
    <xdr:ext cx="5067300" cy="2228850"/>
    <xdr:pic>
      <xdr:nvPicPr>
        <xdr:cNvPr id="0" name="image2.png" title="Immagin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28575</xdr:colOff>
      <xdr:row>19</xdr:row>
      <xdr:rowOff>38100</xdr:rowOff>
    </xdr:from>
    <xdr:ext cx="3867150" cy="2828925"/>
    <xdr:graphicFrame>
      <xdr:nvGraphicFramePr>
        <xdr:cNvPr id="141818111" name="Chart 5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857250</xdr:colOff>
      <xdr:row>34</xdr:row>
      <xdr:rowOff>200025</xdr:rowOff>
    </xdr:from>
    <xdr:ext cx="6210300" cy="3619500"/>
    <xdr:graphicFrame>
      <xdr:nvGraphicFramePr>
        <xdr:cNvPr id="1916064522" name="Chart 6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257175</xdr:colOff>
      <xdr:row>1</xdr:row>
      <xdr:rowOff>142875</xdr:rowOff>
    </xdr:from>
    <xdr:ext cx="2876550" cy="2457450"/>
    <xdr:pic>
      <xdr:nvPicPr>
        <xdr:cNvPr id="0" name="image1.png" title="Immagin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914400</xdr:colOff>
      <xdr:row>19</xdr:row>
      <xdr:rowOff>171450</xdr:rowOff>
    </xdr:from>
    <xdr:ext cx="3867150" cy="2847975"/>
    <xdr:graphicFrame>
      <xdr:nvGraphicFramePr>
        <xdr:cNvPr id="379550139" name="Chart 7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914400</xdr:colOff>
      <xdr:row>36</xdr:row>
      <xdr:rowOff>47625</xdr:rowOff>
    </xdr:from>
    <xdr:ext cx="6210300" cy="2847975"/>
    <xdr:graphicFrame>
      <xdr:nvGraphicFramePr>
        <xdr:cNvPr id="386664189" name="Chart 8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838200</xdr:colOff>
      <xdr:row>20</xdr:row>
      <xdr:rowOff>19050</xdr:rowOff>
    </xdr:from>
    <xdr:ext cx="3867150" cy="2847975"/>
    <xdr:graphicFrame>
      <xdr:nvGraphicFramePr>
        <xdr:cNvPr id="305193670" name="Chart 9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904875</xdr:colOff>
      <xdr:row>35</xdr:row>
      <xdr:rowOff>133350</xdr:rowOff>
    </xdr:from>
    <xdr:ext cx="6210300" cy="2847975"/>
    <xdr:graphicFrame>
      <xdr:nvGraphicFramePr>
        <xdr:cNvPr id="2073183783" name="Chart 10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238125</xdr:colOff>
      <xdr:row>20</xdr:row>
      <xdr:rowOff>114300</xdr:rowOff>
    </xdr:from>
    <xdr:ext cx="3867150" cy="2847975"/>
    <xdr:graphicFrame>
      <xdr:nvGraphicFramePr>
        <xdr:cNvPr id="955321829" name="Chart 11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238125</xdr:colOff>
      <xdr:row>35</xdr:row>
      <xdr:rowOff>171450</xdr:rowOff>
    </xdr:from>
    <xdr:ext cx="8467725" cy="5581650"/>
    <xdr:graphicFrame>
      <xdr:nvGraphicFramePr>
        <xdr:cNvPr id="481067567" name="Chart 12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12</xdr:col>
      <xdr:colOff>400050</xdr:colOff>
      <xdr:row>3</xdr:row>
      <xdr:rowOff>161925</xdr:rowOff>
    </xdr:from>
    <xdr:ext cx="5448300" cy="2762250"/>
    <xdr:pic>
      <xdr:nvPicPr>
        <xdr:cNvPr id="0" name="image3.png" title="Immagin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0"/>
    <col customWidth="1" min="2" max="2" width="100.0"/>
    <col customWidth="1" min="3" max="26" width="8.63"/>
  </cols>
  <sheetData>
    <row r="2" ht="36.0" customHeight="1">
      <c r="B2" s="1" t="s">
        <v>0</v>
      </c>
    </row>
    <row r="4" ht="21.75" customHeight="1">
      <c r="B4" s="2" t="s">
        <v>2</v>
      </c>
    </row>
    <row r="5" ht="37.5" customHeight="1">
      <c r="B5" s="4" t="s">
        <v>4</v>
      </c>
    </row>
    <row r="6" ht="54.0" customHeight="1">
      <c r="B6" s="4" t="s">
        <v>5</v>
      </c>
    </row>
    <row r="7" ht="37.5" customHeight="1">
      <c r="B7" s="4" t="s">
        <v>7</v>
      </c>
    </row>
    <row r="8" ht="37.5" customHeight="1">
      <c r="B8" s="4" t="s">
        <v>8</v>
      </c>
    </row>
    <row r="9" ht="37.5" customHeight="1">
      <c r="B9" s="7" t="s">
        <v>10</v>
      </c>
    </row>
    <row r="11" ht="21.75" customHeight="1">
      <c r="B11" s="2" t="s">
        <v>13</v>
      </c>
    </row>
    <row r="12" ht="21.75" customHeight="1">
      <c r="B12" s="4" t="s">
        <v>16</v>
      </c>
    </row>
    <row r="13" ht="37.5" customHeight="1">
      <c r="B13" s="7" t="s">
        <v>17</v>
      </c>
    </row>
    <row r="14" ht="54.0" customHeight="1">
      <c r="B14" s="4" t="s">
        <v>18</v>
      </c>
    </row>
    <row r="15" ht="37.5" customHeight="1">
      <c r="B15" s="4" t="s">
        <v>19</v>
      </c>
    </row>
    <row r="16" ht="37.5" customHeight="1">
      <c r="B16" s="4" t="s">
        <v>21</v>
      </c>
    </row>
    <row r="18" ht="21.75" customHeight="1">
      <c r="B18" s="2" t="s">
        <v>23</v>
      </c>
    </row>
    <row r="19" ht="37.5" customHeight="1">
      <c r="B19" s="4" t="s">
        <v>26</v>
      </c>
    </row>
    <row r="20" ht="54.0" customHeight="1">
      <c r="B20" s="4" t="s">
        <v>27</v>
      </c>
    </row>
    <row r="21" ht="69.75" customHeight="1">
      <c r="B21" s="4" t="s">
        <v>28</v>
      </c>
    </row>
    <row r="22" ht="15.75" customHeight="1"/>
    <row r="23" ht="21.75" customHeight="1">
      <c r="B23" s="2" t="s">
        <v>31</v>
      </c>
    </row>
    <row r="24" ht="69.75" customHeight="1">
      <c r="B24" s="4" t="s">
        <v>33</v>
      </c>
    </row>
    <row r="25" ht="54.0" customHeight="1">
      <c r="B25" s="4" t="s">
        <v>35</v>
      </c>
    </row>
    <row r="26" ht="54.0" customHeight="1">
      <c r="B26" s="4" t="s">
        <v>37</v>
      </c>
    </row>
    <row r="27" ht="37.5" customHeight="1">
      <c r="B27" s="4" t="s">
        <v>39</v>
      </c>
    </row>
    <row r="28" ht="15.75" customHeight="1"/>
    <row r="29" ht="21.75" customHeight="1">
      <c r="B29" s="2" t="s">
        <v>41</v>
      </c>
    </row>
    <row r="30" ht="21.75" customHeight="1">
      <c r="B30" s="4" t="s">
        <v>44</v>
      </c>
    </row>
    <row r="31" ht="37.5" customHeight="1">
      <c r="B31" s="4" t="s">
        <v>45</v>
      </c>
    </row>
    <row r="32" ht="54.0" customHeight="1">
      <c r="B32" s="4" t="s">
        <v>48</v>
      </c>
    </row>
    <row r="33" ht="15.75" customHeight="1"/>
    <row r="34" ht="21.75" customHeight="1">
      <c r="B34" s="2" t="s">
        <v>51</v>
      </c>
    </row>
    <row r="35" ht="21.75" customHeight="1">
      <c r="B35" s="4" t="s">
        <v>53</v>
      </c>
    </row>
    <row r="36" ht="37.5" customHeight="1">
      <c r="B36" s="4" t="s">
        <v>56</v>
      </c>
    </row>
    <row r="37" ht="15.75" customHeight="1"/>
    <row r="38" ht="21.75" customHeight="1">
      <c r="B38" s="2" t="s">
        <v>58</v>
      </c>
    </row>
    <row r="39" ht="54.0" customHeight="1">
      <c r="B39" s="4" t="s">
        <v>60</v>
      </c>
    </row>
    <row r="40" ht="37.5" customHeight="1">
      <c r="B40" s="4" t="s">
        <v>61</v>
      </c>
    </row>
    <row r="41" ht="37.5" customHeight="1">
      <c r="B41" s="4" t="s">
        <v>63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0"/>
    <col customWidth="1" min="2" max="3" width="12.0"/>
    <col customWidth="1" min="4" max="4" width="24.0"/>
    <col customWidth="1" min="5" max="5" width="16.0"/>
    <col customWidth="1" min="6" max="6" width="24.0"/>
    <col customWidth="1" min="7" max="7" width="9.0"/>
    <col customWidth="1" min="8" max="8" width="11.0"/>
    <col customWidth="1" min="9" max="9" width="22.0"/>
    <col customWidth="1" min="10" max="10" width="11.0"/>
    <col customWidth="1" min="11" max="11" width="32.0"/>
    <col customWidth="1" min="12" max="12" width="10.0"/>
    <col customWidth="1" min="13" max="13" width="12.0"/>
    <col customWidth="1" min="14" max="14" width="22.0"/>
    <col customWidth="1" min="15" max="15" width="14.0"/>
    <col customWidth="1" min="16" max="16" width="13.0"/>
    <col customWidth="1" min="17" max="17" width="8.0"/>
    <col customWidth="1" min="18" max="18" width="12.0"/>
  </cols>
  <sheetData>
    <row r="1" ht="15.75" customHeight="1">
      <c r="A1" s="3" t="s">
        <v>1</v>
      </c>
      <c r="B1" s="3" t="s">
        <v>6</v>
      </c>
      <c r="C1" s="3" t="s">
        <v>9</v>
      </c>
      <c r="D1" s="3" t="s">
        <v>11</v>
      </c>
      <c r="E1" s="3" t="s">
        <v>12</v>
      </c>
      <c r="F1" s="3" t="s">
        <v>15</v>
      </c>
      <c r="G1" s="3" t="s">
        <v>20</v>
      </c>
      <c r="H1" s="3" t="s">
        <v>22</v>
      </c>
      <c r="I1" s="3" t="s">
        <v>25</v>
      </c>
      <c r="J1" s="3" t="s">
        <v>30</v>
      </c>
      <c r="K1" s="3" t="s">
        <v>32</v>
      </c>
      <c r="L1" s="13" t="s">
        <v>36</v>
      </c>
      <c r="M1" s="13" t="s">
        <v>40</v>
      </c>
      <c r="N1" s="13" t="s">
        <v>43</v>
      </c>
      <c r="O1" s="13" t="s">
        <v>47</v>
      </c>
      <c r="P1" s="13" t="s">
        <v>50</v>
      </c>
      <c r="Q1" s="13" t="s">
        <v>54</v>
      </c>
      <c r="R1" s="13" t="s">
        <v>57</v>
      </c>
    </row>
    <row r="2" ht="15.75" customHeight="1">
      <c r="A2" s="16">
        <v>1.0</v>
      </c>
      <c r="B2" s="17">
        <v>46235.0</v>
      </c>
      <c r="C2" s="16" t="s">
        <v>64</v>
      </c>
      <c r="D2" s="16" t="s">
        <v>65</v>
      </c>
      <c r="E2" s="16" t="s">
        <v>34</v>
      </c>
      <c r="F2" s="16" t="s">
        <v>66</v>
      </c>
      <c r="G2" s="16">
        <v>1.0</v>
      </c>
      <c r="H2" s="16" t="s">
        <v>67</v>
      </c>
      <c r="I2" s="16" t="s">
        <v>68</v>
      </c>
      <c r="J2" s="16" t="s">
        <v>69</v>
      </c>
      <c r="K2" s="16" t="s">
        <v>70</v>
      </c>
      <c r="L2" s="20">
        <f t="shared" ref="L2:L400" si="1">IF(D2="","",IF(H2="W",1,IF(H2="L",0,"")))</f>
        <v>1</v>
      </c>
      <c r="M2" s="20">
        <f t="shared" ref="M2:M400" si="2">IF(D2="","",COUNTIFS($D$2:D2,D2))</f>
        <v>1</v>
      </c>
      <c r="N2" s="20" t="str">
        <f t="shared" ref="N2:N400" si="3">IF(D2="","",D2&amp;"|"&amp;M2)</f>
        <v>Grimmsnarl ex Froslass|1</v>
      </c>
      <c r="O2" s="20">
        <f t="shared" ref="O2:O400" si="4">IF(D2="","",COUNTIFS($D$2:D2,D2,$H$2:H2,"W"))</f>
        <v>1</v>
      </c>
      <c r="P2" s="22">
        <f t="shared" ref="P2:P400" si="5">IF(D2="","",IFERROR(O2/M2,""))</f>
        <v>1</v>
      </c>
      <c r="Q2" s="20" t="str">
        <f t="shared" ref="Q2:Q400" si="6">IF(G2="","",IF(G2=1,"1°","2°"))</f>
        <v>1°</v>
      </c>
      <c r="R2" s="20" t="str">
        <f t="shared" ref="R2:R400" si="7">IF(B2="","",TEXT(B2,"mmm-yyyy"))</f>
        <v>ago-2026</v>
      </c>
    </row>
    <row r="3" ht="15.75" customHeight="1">
      <c r="A3" s="23">
        <v>2.0</v>
      </c>
      <c r="B3" s="24">
        <v>46235.0</v>
      </c>
      <c r="C3" s="23" t="s">
        <v>64</v>
      </c>
      <c r="D3" s="23" t="s">
        <v>65</v>
      </c>
      <c r="E3" s="23" t="s">
        <v>34</v>
      </c>
      <c r="F3" s="23" t="s">
        <v>65</v>
      </c>
      <c r="G3" s="23">
        <v>1.0</v>
      </c>
      <c r="H3" s="23" t="s">
        <v>67</v>
      </c>
      <c r="I3" s="23" t="s">
        <v>72</v>
      </c>
      <c r="J3" s="23" t="s">
        <v>69</v>
      </c>
      <c r="K3" s="23"/>
      <c r="L3" s="25">
        <f t="shared" si="1"/>
        <v>1</v>
      </c>
      <c r="M3" s="25">
        <f t="shared" si="2"/>
        <v>2</v>
      </c>
      <c r="N3" s="25" t="str">
        <f t="shared" si="3"/>
        <v>Grimmsnarl ex Froslass|2</v>
      </c>
      <c r="O3" s="25">
        <f t="shared" si="4"/>
        <v>2</v>
      </c>
      <c r="P3" s="26">
        <f t="shared" si="5"/>
        <v>1</v>
      </c>
      <c r="Q3" s="25" t="str">
        <f t="shared" si="6"/>
        <v>1°</v>
      </c>
      <c r="R3" s="25" t="str">
        <f t="shared" si="7"/>
        <v>ago-2026</v>
      </c>
    </row>
    <row r="4" ht="15.75" customHeight="1">
      <c r="A4" s="16">
        <v>3.0</v>
      </c>
      <c r="B4" s="17">
        <v>46235.0</v>
      </c>
      <c r="C4" s="16" t="s">
        <v>64</v>
      </c>
      <c r="D4" s="16" t="s">
        <v>65</v>
      </c>
      <c r="E4" s="16" t="s">
        <v>34</v>
      </c>
      <c r="F4" s="16" t="s">
        <v>73</v>
      </c>
      <c r="G4" s="16">
        <v>2.0</v>
      </c>
      <c r="H4" s="16" t="s">
        <v>67</v>
      </c>
      <c r="I4" s="16" t="s">
        <v>74</v>
      </c>
      <c r="J4" s="16" t="s">
        <v>69</v>
      </c>
      <c r="K4" s="27"/>
      <c r="L4" s="20">
        <f t="shared" si="1"/>
        <v>1</v>
      </c>
      <c r="M4" s="20">
        <f t="shared" si="2"/>
        <v>3</v>
      </c>
      <c r="N4" s="20" t="str">
        <f t="shared" si="3"/>
        <v>Grimmsnarl ex Froslass|3</v>
      </c>
      <c r="O4" s="20">
        <f t="shared" si="4"/>
        <v>3</v>
      </c>
      <c r="P4" s="22">
        <f t="shared" si="5"/>
        <v>1</v>
      </c>
      <c r="Q4" s="20" t="str">
        <f t="shared" si="6"/>
        <v>2°</v>
      </c>
      <c r="R4" s="20" t="str">
        <f t="shared" si="7"/>
        <v>ago-2026</v>
      </c>
    </row>
    <row r="5" ht="15.75" customHeight="1">
      <c r="A5" s="23">
        <v>4.0</v>
      </c>
      <c r="B5" s="24">
        <v>46235.0</v>
      </c>
      <c r="C5" s="23" t="s">
        <v>64</v>
      </c>
      <c r="D5" s="23" t="s">
        <v>65</v>
      </c>
      <c r="E5" s="23" t="s">
        <v>34</v>
      </c>
      <c r="F5" s="23" t="s">
        <v>75</v>
      </c>
      <c r="G5" s="23">
        <v>1.0</v>
      </c>
      <c r="H5" s="23" t="s">
        <v>67</v>
      </c>
      <c r="I5" s="23" t="s">
        <v>76</v>
      </c>
      <c r="J5" s="23" t="s">
        <v>69</v>
      </c>
      <c r="L5" s="25">
        <f t="shared" si="1"/>
        <v>1</v>
      </c>
      <c r="M5" s="25">
        <f t="shared" si="2"/>
        <v>4</v>
      </c>
      <c r="N5" s="25" t="str">
        <f t="shared" si="3"/>
        <v>Grimmsnarl ex Froslass|4</v>
      </c>
      <c r="O5" s="25">
        <f t="shared" si="4"/>
        <v>4</v>
      </c>
      <c r="P5" s="26">
        <f t="shared" si="5"/>
        <v>1</v>
      </c>
      <c r="Q5" s="25" t="str">
        <f t="shared" si="6"/>
        <v>1°</v>
      </c>
      <c r="R5" s="25" t="str">
        <f t="shared" si="7"/>
        <v>ago-2026</v>
      </c>
    </row>
    <row r="6" ht="15.75" customHeight="1">
      <c r="A6" s="16">
        <v>5.0</v>
      </c>
      <c r="B6" s="17">
        <v>46235.0</v>
      </c>
      <c r="C6" s="16" t="s">
        <v>64</v>
      </c>
      <c r="D6" s="16" t="s">
        <v>65</v>
      </c>
      <c r="E6" s="16" t="s">
        <v>34</v>
      </c>
      <c r="F6" s="16" t="s">
        <v>77</v>
      </c>
      <c r="G6" s="16">
        <v>2.0</v>
      </c>
      <c r="H6" s="16" t="s">
        <v>78</v>
      </c>
      <c r="I6" s="16" t="s">
        <v>79</v>
      </c>
      <c r="J6" s="16" t="s">
        <v>69</v>
      </c>
      <c r="K6" s="27"/>
      <c r="L6" s="20">
        <f t="shared" si="1"/>
        <v>0</v>
      </c>
      <c r="M6" s="20">
        <f t="shared" si="2"/>
        <v>5</v>
      </c>
      <c r="N6" s="20" t="str">
        <f t="shared" si="3"/>
        <v>Grimmsnarl ex Froslass|5</v>
      </c>
      <c r="O6" s="20">
        <f t="shared" si="4"/>
        <v>4</v>
      </c>
      <c r="P6" s="22">
        <f t="shared" si="5"/>
        <v>0.8</v>
      </c>
      <c r="Q6" s="20" t="str">
        <f t="shared" si="6"/>
        <v>2°</v>
      </c>
      <c r="R6" s="20" t="str">
        <f t="shared" si="7"/>
        <v>ago-2026</v>
      </c>
    </row>
    <row r="7" ht="15.75" customHeight="1">
      <c r="A7" s="23">
        <v>6.0</v>
      </c>
      <c r="B7" s="24">
        <v>46236.0</v>
      </c>
      <c r="C7" s="23" t="s">
        <v>64</v>
      </c>
      <c r="D7" s="23" t="s">
        <v>65</v>
      </c>
      <c r="E7" s="23" t="s">
        <v>34</v>
      </c>
      <c r="F7" s="23" t="s">
        <v>80</v>
      </c>
      <c r="G7" s="23">
        <v>1.0</v>
      </c>
      <c r="H7" s="23" t="s">
        <v>67</v>
      </c>
      <c r="J7" s="23" t="s">
        <v>69</v>
      </c>
      <c r="K7" s="23" t="s">
        <v>81</v>
      </c>
      <c r="L7" s="25">
        <f t="shared" si="1"/>
        <v>1</v>
      </c>
      <c r="M7" s="25">
        <f t="shared" si="2"/>
        <v>6</v>
      </c>
      <c r="N7" s="25" t="str">
        <f t="shared" si="3"/>
        <v>Grimmsnarl ex Froslass|6</v>
      </c>
      <c r="O7" s="25">
        <f t="shared" si="4"/>
        <v>5</v>
      </c>
      <c r="P7" s="26">
        <f t="shared" si="5"/>
        <v>0.8333333333</v>
      </c>
      <c r="Q7" s="25" t="str">
        <f t="shared" si="6"/>
        <v>1°</v>
      </c>
      <c r="R7" s="25" t="str">
        <f t="shared" si="7"/>
        <v>ago-2026</v>
      </c>
    </row>
    <row r="8" ht="15.75" customHeight="1">
      <c r="A8" s="16">
        <v>7.0</v>
      </c>
      <c r="B8" s="17">
        <v>46236.0</v>
      </c>
      <c r="C8" s="16" t="s">
        <v>64</v>
      </c>
      <c r="D8" s="16" t="s">
        <v>65</v>
      </c>
      <c r="E8" s="16" t="s">
        <v>34</v>
      </c>
      <c r="F8" s="16" t="s">
        <v>83</v>
      </c>
      <c r="G8" s="16">
        <v>1.0</v>
      </c>
      <c r="H8" s="16" t="s">
        <v>67</v>
      </c>
      <c r="I8" s="27"/>
      <c r="J8" s="16" t="s">
        <v>69</v>
      </c>
      <c r="K8" s="27"/>
      <c r="L8" s="20">
        <f t="shared" si="1"/>
        <v>1</v>
      </c>
      <c r="M8" s="20">
        <f t="shared" si="2"/>
        <v>7</v>
      </c>
      <c r="N8" s="20" t="str">
        <f t="shared" si="3"/>
        <v>Grimmsnarl ex Froslass|7</v>
      </c>
      <c r="O8" s="20">
        <f t="shared" si="4"/>
        <v>6</v>
      </c>
      <c r="P8" s="22">
        <f t="shared" si="5"/>
        <v>0.8571428571</v>
      </c>
      <c r="Q8" s="20" t="str">
        <f t="shared" si="6"/>
        <v>1°</v>
      </c>
      <c r="R8" s="20" t="str">
        <f t="shared" si="7"/>
        <v>ago-2026</v>
      </c>
    </row>
    <row r="9" ht="15.75" customHeight="1">
      <c r="A9" s="23">
        <v>8.0</v>
      </c>
      <c r="B9" s="24">
        <v>46236.0</v>
      </c>
      <c r="C9" s="23" t="s">
        <v>64</v>
      </c>
      <c r="D9" s="23" t="s">
        <v>65</v>
      </c>
      <c r="E9" s="23" t="s">
        <v>34</v>
      </c>
      <c r="F9" s="23" t="s">
        <v>91</v>
      </c>
      <c r="G9" s="23">
        <v>2.0</v>
      </c>
      <c r="H9" s="23" t="s">
        <v>78</v>
      </c>
      <c r="I9" s="23" t="s">
        <v>93</v>
      </c>
      <c r="J9" s="23" t="s">
        <v>69</v>
      </c>
      <c r="L9" s="25">
        <f t="shared" si="1"/>
        <v>0</v>
      </c>
      <c r="M9" s="25">
        <f t="shared" si="2"/>
        <v>8</v>
      </c>
      <c r="N9" s="25" t="str">
        <f t="shared" si="3"/>
        <v>Grimmsnarl ex Froslass|8</v>
      </c>
      <c r="O9" s="25">
        <f t="shared" si="4"/>
        <v>6</v>
      </c>
      <c r="P9" s="26">
        <f t="shared" si="5"/>
        <v>0.75</v>
      </c>
      <c r="Q9" s="25" t="str">
        <f t="shared" si="6"/>
        <v>2°</v>
      </c>
      <c r="R9" s="25" t="str">
        <f t="shared" si="7"/>
        <v>ago-2026</v>
      </c>
    </row>
    <row r="10" ht="15.75" customHeight="1">
      <c r="A10" s="16">
        <v>9.0</v>
      </c>
      <c r="B10" s="17">
        <v>46236.0</v>
      </c>
      <c r="C10" s="16" t="s">
        <v>64</v>
      </c>
      <c r="D10" s="16" t="s">
        <v>65</v>
      </c>
      <c r="E10" s="16" t="s">
        <v>34</v>
      </c>
      <c r="F10" s="16" t="s">
        <v>92</v>
      </c>
      <c r="G10" s="16">
        <v>1.0</v>
      </c>
      <c r="H10" s="16" t="s">
        <v>67</v>
      </c>
      <c r="I10" s="16" t="s">
        <v>100</v>
      </c>
      <c r="J10" s="16" t="s">
        <v>69</v>
      </c>
      <c r="K10" s="16" t="s">
        <v>101</v>
      </c>
      <c r="L10" s="20">
        <f t="shared" si="1"/>
        <v>1</v>
      </c>
      <c r="M10" s="20">
        <f t="shared" si="2"/>
        <v>9</v>
      </c>
      <c r="N10" s="20" t="str">
        <f t="shared" si="3"/>
        <v>Grimmsnarl ex Froslass|9</v>
      </c>
      <c r="O10" s="20">
        <f t="shared" si="4"/>
        <v>7</v>
      </c>
      <c r="P10" s="22">
        <f t="shared" si="5"/>
        <v>0.7777777778</v>
      </c>
      <c r="Q10" s="20" t="str">
        <f t="shared" si="6"/>
        <v>1°</v>
      </c>
      <c r="R10" s="20" t="str">
        <f t="shared" si="7"/>
        <v>ago-2026</v>
      </c>
    </row>
    <row r="11" ht="15.75" customHeight="1">
      <c r="A11" s="23">
        <v>10.0</v>
      </c>
      <c r="B11" s="24">
        <v>46236.0</v>
      </c>
      <c r="C11" s="23" t="s">
        <v>64</v>
      </c>
      <c r="D11" s="23" t="s">
        <v>65</v>
      </c>
      <c r="E11" s="23" t="s">
        <v>34</v>
      </c>
      <c r="F11" s="23" t="s">
        <v>104</v>
      </c>
      <c r="G11" s="23">
        <v>2.0</v>
      </c>
      <c r="H11" s="23" t="s">
        <v>67</v>
      </c>
      <c r="I11" s="23" t="s">
        <v>72</v>
      </c>
      <c r="J11" s="23" t="s">
        <v>69</v>
      </c>
      <c r="K11" s="23" t="s">
        <v>105</v>
      </c>
      <c r="L11" s="25">
        <f t="shared" si="1"/>
        <v>1</v>
      </c>
      <c r="M11" s="25">
        <f t="shared" si="2"/>
        <v>10</v>
      </c>
      <c r="N11" s="25" t="str">
        <f t="shared" si="3"/>
        <v>Grimmsnarl ex Froslass|10</v>
      </c>
      <c r="O11" s="25">
        <f t="shared" si="4"/>
        <v>8</v>
      </c>
      <c r="P11" s="26">
        <f t="shared" si="5"/>
        <v>0.8</v>
      </c>
      <c r="Q11" s="25" t="str">
        <f t="shared" si="6"/>
        <v>2°</v>
      </c>
      <c r="R11" s="25" t="str">
        <f t="shared" si="7"/>
        <v>ago-2026</v>
      </c>
    </row>
    <row r="12" ht="15.75" customHeight="1">
      <c r="A12" s="16">
        <v>11.0</v>
      </c>
      <c r="B12" s="17">
        <v>46237.0</v>
      </c>
      <c r="C12" s="16" t="s">
        <v>64</v>
      </c>
      <c r="D12" s="16" t="s">
        <v>65</v>
      </c>
      <c r="E12" s="16" t="s">
        <v>34</v>
      </c>
      <c r="F12" s="16" t="s">
        <v>106</v>
      </c>
      <c r="G12" s="16">
        <v>2.0</v>
      </c>
      <c r="H12" s="16" t="s">
        <v>67</v>
      </c>
      <c r="I12" s="27"/>
      <c r="J12" s="16" t="s">
        <v>69</v>
      </c>
      <c r="K12" s="16" t="s">
        <v>107</v>
      </c>
      <c r="L12" s="20">
        <f t="shared" si="1"/>
        <v>1</v>
      </c>
      <c r="M12" s="20">
        <f t="shared" si="2"/>
        <v>11</v>
      </c>
      <c r="N12" s="20" t="str">
        <f t="shared" si="3"/>
        <v>Grimmsnarl ex Froslass|11</v>
      </c>
      <c r="O12" s="20">
        <f t="shared" si="4"/>
        <v>9</v>
      </c>
      <c r="P12" s="22">
        <f t="shared" si="5"/>
        <v>0.8181818182</v>
      </c>
      <c r="Q12" s="20" t="str">
        <f t="shared" si="6"/>
        <v>2°</v>
      </c>
      <c r="R12" s="20" t="str">
        <f t="shared" si="7"/>
        <v>ago-2026</v>
      </c>
    </row>
    <row r="13" ht="15.75" customHeight="1">
      <c r="A13" s="23">
        <v>12.0</v>
      </c>
      <c r="B13" s="24">
        <v>46237.0</v>
      </c>
      <c r="C13" s="23" t="s">
        <v>64</v>
      </c>
      <c r="D13" s="23" t="s">
        <v>65</v>
      </c>
      <c r="E13" s="23" t="s">
        <v>34</v>
      </c>
      <c r="F13" s="23" t="s">
        <v>71</v>
      </c>
      <c r="G13" s="23">
        <v>1.0</v>
      </c>
      <c r="H13" s="23" t="s">
        <v>67</v>
      </c>
      <c r="I13" s="23" t="s">
        <v>72</v>
      </c>
      <c r="J13" s="23" t="s">
        <v>69</v>
      </c>
      <c r="L13" s="25">
        <f t="shared" si="1"/>
        <v>1</v>
      </c>
      <c r="M13" s="25">
        <f t="shared" si="2"/>
        <v>12</v>
      </c>
      <c r="N13" s="25" t="str">
        <f t="shared" si="3"/>
        <v>Grimmsnarl ex Froslass|12</v>
      </c>
      <c r="O13" s="25">
        <f t="shared" si="4"/>
        <v>10</v>
      </c>
      <c r="P13" s="26">
        <f t="shared" si="5"/>
        <v>0.8333333333</v>
      </c>
      <c r="Q13" s="25" t="str">
        <f t="shared" si="6"/>
        <v>1°</v>
      </c>
      <c r="R13" s="25" t="str">
        <f t="shared" si="7"/>
        <v>ago-2026</v>
      </c>
    </row>
    <row r="14" ht="15.75" customHeight="1">
      <c r="A14" s="16">
        <v>13.0</v>
      </c>
      <c r="B14" s="17">
        <v>46237.0</v>
      </c>
      <c r="C14" s="16" t="s">
        <v>64</v>
      </c>
      <c r="D14" s="16" t="s">
        <v>65</v>
      </c>
      <c r="E14" s="16" t="s">
        <v>34</v>
      </c>
      <c r="F14" s="16" t="s">
        <v>65</v>
      </c>
      <c r="G14" s="16">
        <v>1.0</v>
      </c>
      <c r="H14" s="16" t="s">
        <v>67</v>
      </c>
      <c r="I14" s="16" t="s">
        <v>72</v>
      </c>
      <c r="J14" s="16" t="s">
        <v>69</v>
      </c>
      <c r="K14" s="16" t="s">
        <v>110</v>
      </c>
      <c r="L14" s="20">
        <f t="shared" si="1"/>
        <v>1</v>
      </c>
      <c r="M14" s="20">
        <f t="shared" si="2"/>
        <v>13</v>
      </c>
      <c r="N14" s="20" t="str">
        <f t="shared" si="3"/>
        <v>Grimmsnarl ex Froslass|13</v>
      </c>
      <c r="O14" s="20">
        <f t="shared" si="4"/>
        <v>11</v>
      </c>
      <c r="P14" s="22">
        <f t="shared" si="5"/>
        <v>0.8461538462</v>
      </c>
      <c r="Q14" s="20" t="str">
        <f t="shared" si="6"/>
        <v>1°</v>
      </c>
      <c r="R14" s="20" t="str">
        <f t="shared" si="7"/>
        <v>ago-2026</v>
      </c>
    </row>
    <row r="15" ht="15.75" customHeight="1">
      <c r="A15" s="23">
        <v>14.0</v>
      </c>
      <c r="B15" s="24">
        <v>46238.0</v>
      </c>
      <c r="C15" s="23" t="s">
        <v>64</v>
      </c>
      <c r="D15" s="23" t="s">
        <v>65</v>
      </c>
      <c r="E15" s="23" t="s">
        <v>34</v>
      </c>
      <c r="F15" s="23" t="s">
        <v>111</v>
      </c>
      <c r="G15" s="23">
        <v>1.0</v>
      </c>
      <c r="H15" s="23" t="s">
        <v>67</v>
      </c>
      <c r="J15" s="23" t="s">
        <v>69</v>
      </c>
      <c r="K15" s="23" t="s">
        <v>112</v>
      </c>
      <c r="L15" s="25">
        <f t="shared" si="1"/>
        <v>1</v>
      </c>
      <c r="M15" s="25">
        <f t="shared" si="2"/>
        <v>14</v>
      </c>
      <c r="N15" s="25" t="str">
        <f t="shared" si="3"/>
        <v>Grimmsnarl ex Froslass|14</v>
      </c>
      <c r="O15" s="25">
        <f t="shared" si="4"/>
        <v>12</v>
      </c>
      <c r="P15" s="26">
        <f t="shared" si="5"/>
        <v>0.8571428571</v>
      </c>
      <c r="Q15" s="25" t="str">
        <f t="shared" si="6"/>
        <v>1°</v>
      </c>
      <c r="R15" s="25" t="str">
        <f t="shared" si="7"/>
        <v>ago-2026</v>
      </c>
    </row>
    <row r="16" ht="15.75" customHeight="1">
      <c r="A16" s="16">
        <v>15.0</v>
      </c>
      <c r="B16" s="17">
        <v>46238.0</v>
      </c>
      <c r="C16" s="16" t="s">
        <v>64</v>
      </c>
      <c r="D16" s="16" t="s">
        <v>65</v>
      </c>
      <c r="E16" s="16" t="s">
        <v>34</v>
      </c>
      <c r="F16" s="16" t="s">
        <v>71</v>
      </c>
      <c r="G16" s="16">
        <v>1.0</v>
      </c>
      <c r="H16" s="16" t="s">
        <v>78</v>
      </c>
      <c r="I16" s="27"/>
      <c r="J16" s="16" t="s">
        <v>69</v>
      </c>
      <c r="K16" s="27"/>
      <c r="L16" s="20">
        <f t="shared" si="1"/>
        <v>0</v>
      </c>
      <c r="M16" s="20">
        <f t="shared" si="2"/>
        <v>15</v>
      </c>
      <c r="N16" s="20" t="str">
        <f t="shared" si="3"/>
        <v>Grimmsnarl ex Froslass|15</v>
      </c>
      <c r="O16" s="20">
        <f t="shared" si="4"/>
        <v>12</v>
      </c>
      <c r="P16" s="22">
        <f t="shared" si="5"/>
        <v>0.8</v>
      </c>
      <c r="Q16" s="20" t="str">
        <f t="shared" si="6"/>
        <v>1°</v>
      </c>
      <c r="R16" s="20" t="str">
        <f t="shared" si="7"/>
        <v>ago-2026</v>
      </c>
    </row>
    <row r="17" ht="15.75" customHeight="1">
      <c r="A17" s="23">
        <v>16.0</v>
      </c>
      <c r="B17" s="24">
        <v>46238.0</v>
      </c>
      <c r="C17" s="23" t="s">
        <v>64</v>
      </c>
      <c r="D17" s="23" t="s">
        <v>65</v>
      </c>
      <c r="E17" s="23" t="s">
        <v>34</v>
      </c>
      <c r="F17" s="23" t="s">
        <v>114</v>
      </c>
      <c r="G17" s="23">
        <v>1.0</v>
      </c>
      <c r="H17" s="23" t="s">
        <v>78</v>
      </c>
      <c r="I17" s="23" t="s">
        <v>100</v>
      </c>
      <c r="J17" s="23" t="s">
        <v>69</v>
      </c>
      <c r="L17" s="25">
        <f t="shared" si="1"/>
        <v>0</v>
      </c>
      <c r="M17" s="25">
        <f t="shared" si="2"/>
        <v>16</v>
      </c>
      <c r="N17" s="25" t="str">
        <f t="shared" si="3"/>
        <v>Grimmsnarl ex Froslass|16</v>
      </c>
      <c r="O17" s="25">
        <f t="shared" si="4"/>
        <v>12</v>
      </c>
      <c r="P17" s="26">
        <f t="shared" si="5"/>
        <v>0.75</v>
      </c>
      <c r="Q17" s="25" t="str">
        <f t="shared" si="6"/>
        <v>1°</v>
      </c>
      <c r="R17" s="25" t="str">
        <f t="shared" si="7"/>
        <v>ago-2026</v>
      </c>
    </row>
    <row r="18" ht="15.75" customHeight="1">
      <c r="A18" s="16">
        <v>17.0</v>
      </c>
      <c r="B18" s="17">
        <v>46238.0</v>
      </c>
      <c r="C18" s="16" t="s">
        <v>64</v>
      </c>
      <c r="D18" s="16" t="s">
        <v>65</v>
      </c>
      <c r="E18" s="16" t="s">
        <v>34</v>
      </c>
      <c r="F18" s="16" t="s">
        <v>92</v>
      </c>
      <c r="G18" s="16">
        <v>1.0</v>
      </c>
      <c r="H18" s="16" t="s">
        <v>78</v>
      </c>
      <c r="I18" s="16" t="s">
        <v>100</v>
      </c>
      <c r="J18" s="16" t="s">
        <v>69</v>
      </c>
      <c r="K18" s="27"/>
      <c r="L18" s="20">
        <f t="shared" si="1"/>
        <v>0</v>
      </c>
      <c r="M18" s="20">
        <f t="shared" si="2"/>
        <v>17</v>
      </c>
      <c r="N18" s="20" t="str">
        <f t="shared" si="3"/>
        <v>Grimmsnarl ex Froslass|17</v>
      </c>
      <c r="O18" s="20">
        <f t="shared" si="4"/>
        <v>12</v>
      </c>
      <c r="P18" s="22">
        <f t="shared" si="5"/>
        <v>0.7058823529</v>
      </c>
      <c r="Q18" s="20" t="str">
        <f t="shared" si="6"/>
        <v>1°</v>
      </c>
      <c r="R18" s="20" t="str">
        <f t="shared" si="7"/>
        <v>ago-2026</v>
      </c>
    </row>
    <row r="19" ht="15.75" customHeight="1">
      <c r="A19" s="23">
        <v>18.0</v>
      </c>
      <c r="B19" s="24">
        <v>46238.0</v>
      </c>
      <c r="C19" s="23" t="s">
        <v>64</v>
      </c>
      <c r="D19" s="23" t="s">
        <v>71</v>
      </c>
      <c r="E19" s="23" t="s">
        <v>38</v>
      </c>
      <c r="F19" s="23" t="s">
        <v>118</v>
      </c>
      <c r="G19" s="23">
        <v>1.0</v>
      </c>
      <c r="H19" s="23" t="s">
        <v>67</v>
      </c>
      <c r="J19" s="23" t="s">
        <v>69</v>
      </c>
      <c r="L19" s="25">
        <f t="shared" si="1"/>
        <v>1</v>
      </c>
      <c r="M19" s="25">
        <f t="shared" si="2"/>
        <v>1</v>
      </c>
      <c r="N19" s="25" t="str">
        <f t="shared" si="3"/>
        <v>Dragapult ex|1</v>
      </c>
      <c r="O19" s="25">
        <f t="shared" si="4"/>
        <v>1</v>
      </c>
      <c r="P19" s="26">
        <f t="shared" si="5"/>
        <v>1</v>
      </c>
      <c r="Q19" s="25" t="str">
        <f t="shared" si="6"/>
        <v>1°</v>
      </c>
      <c r="R19" s="25" t="str">
        <f t="shared" si="7"/>
        <v>ago-2026</v>
      </c>
    </row>
    <row r="20" ht="15.75" customHeight="1">
      <c r="A20" s="16">
        <v>19.0</v>
      </c>
      <c r="B20" s="17">
        <v>46238.0</v>
      </c>
      <c r="C20" s="16" t="s">
        <v>64</v>
      </c>
      <c r="D20" s="16" t="s">
        <v>71</v>
      </c>
      <c r="E20" s="16" t="s">
        <v>38</v>
      </c>
      <c r="F20" s="16" t="s">
        <v>118</v>
      </c>
      <c r="G20" s="16">
        <v>1.0</v>
      </c>
      <c r="H20" s="16" t="s">
        <v>67</v>
      </c>
      <c r="I20" s="27"/>
      <c r="J20" s="16" t="s">
        <v>69</v>
      </c>
      <c r="K20" s="27"/>
      <c r="L20" s="20">
        <f t="shared" si="1"/>
        <v>1</v>
      </c>
      <c r="M20" s="20">
        <f t="shared" si="2"/>
        <v>2</v>
      </c>
      <c r="N20" s="20" t="str">
        <f t="shared" si="3"/>
        <v>Dragapult ex|2</v>
      </c>
      <c r="O20" s="20">
        <f t="shared" si="4"/>
        <v>2</v>
      </c>
      <c r="P20" s="22">
        <f t="shared" si="5"/>
        <v>1</v>
      </c>
      <c r="Q20" s="20" t="str">
        <f t="shared" si="6"/>
        <v>1°</v>
      </c>
      <c r="R20" s="20" t="str">
        <f t="shared" si="7"/>
        <v>ago-2026</v>
      </c>
    </row>
    <row r="21" ht="15.75" customHeight="1">
      <c r="A21" s="23">
        <v>20.0</v>
      </c>
      <c r="B21" s="24">
        <v>46238.0</v>
      </c>
      <c r="C21" s="23" t="s">
        <v>64</v>
      </c>
      <c r="D21" s="23" t="s">
        <v>71</v>
      </c>
      <c r="E21" s="23" t="s">
        <v>38</v>
      </c>
      <c r="F21" s="23" t="s">
        <v>120</v>
      </c>
      <c r="G21" s="23">
        <v>2.0</v>
      </c>
      <c r="H21" s="23" t="s">
        <v>78</v>
      </c>
      <c r="J21" s="23" t="s">
        <v>69</v>
      </c>
      <c r="L21" s="25">
        <f t="shared" si="1"/>
        <v>0</v>
      </c>
      <c r="M21" s="25">
        <f t="shared" si="2"/>
        <v>3</v>
      </c>
      <c r="N21" s="25" t="str">
        <f t="shared" si="3"/>
        <v>Dragapult ex|3</v>
      </c>
      <c r="O21" s="25">
        <f t="shared" si="4"/>
        <v>2</v>
      </c>
      <c r="P21" s="26">
        <f t="shared" si="5"/>
        <v>0.6666666667</v>
      </c>
      <c r="Q21" s="25" t="str">
        <f t="shared" si="6"/>
        <v>2°</v>
      </c>
      <c r="R21" s="25" t="str">
        <f t="shared" si="7"/>
        <v>ago-2026</v>
      </c>
    </row>
    <row r="22" ht="15.75" customHeight="1">
      <c r="A22" s="16">
        <v>21.0</v>
      </c>
      <c r="B22" s="17">
        <v>46238.0</v>
      </c>
      <c r="C22" s="16" t="s">
        <v>64</v>
      </c>
      <c r="D22" s="16" t="s">
        <v>71</v>
      </c>
      <c r="E22" s="16" t="s">
        <v>38</v>
      </c>
      <c r="F22" s="16" t="s">
        <v>121</v>
      </c>
      <c r="G22" s="16">
        <v>1.0</v>
      </c>
      <c r="H22" s="16" t="s">
        <v>67</v>
      </c>
      <c r="I22" s="27"/>
      <c r="J22" s="16" t="s">
        <v>69</v>
      </c>
      <c r="K22" s="27"/>
      <c r="L22" s="20">
        <f t="shared" si="1"/>
        <v>1</v>
      </c>
      <c r="M22" s="20">
        <f t="shared" si="2"/>
        <v>4</v>
      </c>
      <c r="N22" s="20" t="str">
        <f t="shared" si="3"/>
        <v>Dragapult ex|4</v>
      </c>
      <c r="O22" s="20">
        <f t="shared" si="4"/>
        <v>3</v>
      </c>
      <c r="P22" s="22">
        <f t="shared" si="5"/>
        <v>0.75</v>
      </c>
      <c r="Q22" s="20" t="str">
        <f t="shared" si="6"/>
        <v>1°</v>
      </c>
      <c r="R22" s="20" t="str">
        <f t="shared" si="7"/>
        <v>ago-2026</v>
      </c>
    </row>
    <row r="23" ht="15.75" customHeight="1">
      <c r="A23" s="23">
        <v>22.0</v>
      </c>
      <c r="B23" s="24">
        <v>46238.0</v>
      </c>
      <c r="C23" s="23" t="s">
        <v>64</v>
      </c>
      <c r="D23" s="23" t="s">
        <v>71</v>
      </c>
      <c r="E23" s="23" t="s">
        <v>38</v>
      </c>
      <c r="F23" s="23" t="s">
        <v>92</v>
      </c>
      <c r="G23" s="23">
        <v>1.0</v>
      </c>
      <c r="H23" s="23" t="s">
        <v>78</v>
      </c>
      <c r="I23" s="23" t="s">
        <v>100</v>
      </c>
      <c r="J23" s="23" t="s">
        <v>69</v>
      </c>
      <c r="L23" s="25">
        <f t="shared" si="1"/>
        <v>0</v>
      </c>
      <c r="M23" s="25">
        <f t="shared" si="2"/>
        <v>5</v>
      </c>
      <c r="N23" s="25" t="str">
        <f t="shared" si="3"/>
        <v>Dragapult ex|5</v>
      </c>
      <c r="O23" s="25">
        <f t="shared" si="4"/>
        <v>3</v>
      </c>
      <c r="P23" s="26">
        <f t="shared" si="5"/>
        <v>0.6</v>
      </c>
      <c r="Q23" s="25" t="str">
        <f t="shared" si="6"/>
        <v>1°</v>
      </c>
      <c r="R23" s="25" t="str">
        <f t="shared" si="7"/>
        <v>ago-2026</v>
      </c>
    </row>
    <row r="24" ht="15.75" customHeight="1">
      <c r="A24" s="16">
        <v>23.0</v>
      </c>
      <c r="B24" s="17">
        <v>46238.0</v>
      </c>
      <c r="C24" s="16" t="s">
        <v>64</v>
      </c>
      <c r="D24" s="16" t="s">
        <v>71</v>
      </c>
      <c r="E24" s="16" t="s">
        <v>38</v>
      </c>
      <c r="F24" s="16" t="s">
        <v>77</v>
      </c>
      <c r="G24" s="16">
        <v>1.0</v>
      </c>
      <c r="H24" s="16" t="s">
        <v>67</v>
      </c>
      <c r="I24" s="27"/>
      <c r="J24" s="16" t="s">
        <v>69</v>
      </c>
      <c r="K24" s="27"/>
      <c r="L24" s="20">
        <f t="shared" si="1"/>
        <v>1</v>
      </c>
      <c r="M24" s="20">
        <f t="shared" si="2"/>
        <v>6</v>
      </c>
      <c r="N24" s="20" t="str">
        <f t="shared" si="3"/>
        <v>Dragapult ex|6</v>
      </c>
      <c r="O24" s="20">
        <f t="shared" si="4"/>
        <v>4</v>
      </c>
      <c r="P24" s="22">
        <f t="shared" si="5"/>
        <v>0.6666666667</v>
      </c>
      <c r="Q24" s="20" t="str">
        <f t="shared" si="6"/>
        <v>1°</v>
      </c>
      <c r="R24" s="20" t="str">
        <f t="shared" si="7"/>
        <v>ago-2026</v>
      </c>
    </row>
    <row r="25" ht="15.75" customHeight="1">
      <c r="A25" s="23">
        <v>24.0</v>
      </c>
      <c r="B25" s="24">
        <v>46239.0</v>
      </c>
      <c r="C25" s="23" t="s">
        <v>64</v>
      </c>
      <c r="D25" s="23" t="s">
        <v>71</v>
      </c>
      <c r="E25" s="23" t="s">
        <v>38</v>
      </c>
      <c r="F25" s="23" t="s">
        <v>83</v>
      </c>
      <c r="G25" s="23">
        <v>1.0</v>
      </c>
      <c r="H25" s="23" t="s">
        <v>67</v>
      </c>
      <c r="I25" s="23" t="s">
        <v>123</v>
      </c>
      <c r="J25" s="23" t="s">
        <v>69</v>
      </c>
      <c r="L25" s="25">
        <f t="shared" si="1"/>
        <v>1</v>
      </c>
      <c r="M25" s="25">
        <f t="shared" si="2"/>
        <v>7</v>
      </c>
      <c r="N25" s="25" t="str">
        <f t="shared" si="3"/>
        <v>Dragapult ex|7</v>
      </c>
      <c r="O25" s="25">
        <f t="shared" si="4"/>
        <v>5</v>
      </c>
      <c r="P25" s="26">
        <f t="shared" si="5"/>
        <v>0.7142857143</v>
      </c>
      <c r="Q25" s="25" t="str">
        <f t="shared" si="6"/>
        <v>1°</v>
      </c>
      <c r="R25" s="25" t="str">
        <f t="shared" si="7"/>
        <v>ago-2026</v>
      </c>
    </row>
    <row r="26" ht="15.75" customHeight="1">
      <c r="A26" s="16">
        <v>25.0</v>
      </c>
      <c r="B26" s="17">
        <v>46239.0</v>
      </c>
      <c r="C26" s="16" t="s">
        <v>64</v>
      </c>
      <c r="D26" s="16" t="s">
        <v>71</v>
      </c>
      <c r="E26" s="16" t="s">
        <v>38</v>
      </c>
      <c r="F26" s="16" t="s">
        <v>124</v>
      </c>
      <c r="G26" s="16">
        <v>2.0</v>
      </c>
      <c r="H26" s="16" t="s">
        <v>78</v>
      </c>
      <c r="I26" s="16" t="s">
        <v>125</v>
      </c>
      <c r="J26" s="16" t="s">
        <v>69</v>
      </c>
      <c r="K26" s="27"/>
      <c r="L26" s="20">
        <f t="shared" si="1"/>
        <v>0</v>
      </c>
      <c r="M26" s="20">
        <f t="shared" si="2"/>
        <v>8</v>
      </c>
      <c r="N26" s="20" t="str">
        <f t="shared" si="3"/>
        <v>Dragapult ex|8</v>
      </c>
      <c r="O26" s="20">
        <f t="shared" si="4"/>
        <v>5</v>
      </c>
      <c r="P26" s="22">
        <f t="shared" si="5"/>
        <v>0.625</v>
      </c>
      <c r="Q26" s="20" t="str">
        <f t="shared" si="6"/>
        <v>2°</v>
      </c>
      <c r="R26" s="20" t="str">
        <f t="shared" si="7"/>
        <v>ago-2026</v>
      </c>
    </row>
    <row r="27" ht="15.75" customHeight="1">
      <c r="A27" s="23">
        <v>26.0</v>
      </c>
      <c r="B27" s="24">
        <v>46239.0</v>
      </c>
      <c r="C27" s="23" t="s">
        <v>64</v>
      </c>
      <c r="D27" s="23" t="s">
        <v>71</v>
      </c>
      <c r="E27" s="23" t="s">
        <v>38</v>
      </c>
      <c r="F27" s="23" t="s">
        <v>106</v>
      </c>
      <c r="G27" s="23">
        <v>1.0</v>
      </c>
      <c r="H27" s="23" t="s">
        <v>67</v>
      </c>
      <c r="J27" s="23" t="s">
        <v>69</v>
      </c>
      <c r="L27" s="25">
        <f t="shared" si="1"/>
        <v>1</v>
      </c>
      <c r="M27" s="25">
        <f t="shared" si="2"/>
        <v>9</v>
      </c>
      <c r="N27" s="25" t="str">
        <f t="shared" si="3"/>
        <v>Dragapult ex|9</v>
      </c>
      <c r="O27" s="25">
        <f t="shared" si="4"/>
        <v>6</v>
      </c>
      <c r="P27" s="26">
        <f t="shared" si="5"/>
        <v>0.6666666667</v>
      </c>
      <c r="Q27" s="25" t="str">
        <f t="shared" si="6"/>
        <v>1°</v>
      </c>
      <c r="R27" s="25" t="str">
        <f t="shared" si="7"/>
        <v>ago-2026</v>
      </c>
    </row>
    <row r="28" ht="15.75" customHeight="1">
      <c r="A28" s="16">
        <v>27.0</v>
      </c>
      <c r="B28" s="17">
        <v>46239.0</v>
      </c>
      <c r="C28" s="16" t="s">
        <v>64</v>
      </c>
      <c r="D28" s="16" t="s">
        <v>71</v>
      </c>
      <c r="E28" s="16" t="s">
        <v>38</v>
      </c>
      <c r="F28" s="16" t="s">
        <v>126</v>
      </c>
      <c r="G28" s="16">
        <v>1.0</v>
      </c>
      <c r="H28" s="16" t="s">
        <v>67</v>
      </c>
      <c r="I28" s="27"/>
      <c r="J28" s="16" t="s">
        <v>69</v>
      </c>
      <c r="K28" s="16" t="s">
        <v>127</v>
      </c>
      <c r="L28" s="20">
        <f t="shared" si="1"/>
        <v>1</v>
      </c>
      <c r="M28" s="20">
        <f t="shared" si="2"/>
        <v>10</v>
      </c>
      <c r="N28" s="20" t="str">
        <f t="shared" si="3"/>
        <v>Dragapult ex|10</v>
      </c>
      <c r="O28" s="20">
        <f t="shared" si="4"/>
        <v>7</v>
      </c>
      <c r="P28" s="22">
        <f t="shared" si="5"/>
        <v>0.7</v>
      </c>
      <c r="Q28" s="20" t="str">
        <f t="shared" si="6"/>
        <v>1°</v>
      </c>
      <c r="R28" s="20" t="str">
        <f t="shared" si="7"/>
        <v>ago-2026</v>
      </c>
    </row>
    <row r="29" ht="15.75" customHeight="1">
      <c r="A29" s="23">
        <v>28.0</v>
      </c>
      <c r="B29" s="24">
        <v>46239.0</v>
      </c>
      <c r="C29" s="23" t="s">
        <v>64</v>
      </c>
      <c r="D29" s="23" t="s">
        <v>71</v>
      </c>
      <c r="E29" s="23" t="s">
        <v>38</v>
      </c>
      <c r="F29" s="23" t="s">
        <v>106</v>
      </c>
      <c r="G29" s="23">
        <v>1.0</v>
      </c>
      <c r="H29" s="23" t="s">
        <v>78</v>
      </c>
      <c r="I29" s="23" t="s">
        <v>128</v>
      </c>
      <c r="J29" s="23" t="s">
        <v>69</v>
      </c>
      <c r="L29" s="25">
        <f t="shared" si="1"/>
        <v>0</v>
      </c>
      <c r="M29" s="25">
        <f t="shared" si="2"/>
        <v>11</v>
      </c>
      <c r="N29" s="25" t="str">
        <f t="shared" si="3"/>
        <v>Dragapult ex|11</v>
      </c>
      <c r="O29" s="25">
        <f t="shared" si="4"/>
        <v>7</v>
      </c>
      <c r="P29" s="26">
        <f t="shared" si="5"/>
        <v>0.6363636364</v>
      </c>
      <c r="Q29" s="25" t="str">
        <f t="shared" si="6"/>
        <v>1°</v>
      </c>
      <c r="R29" s="25" t="str">
        <f t="shared" si="7"/>
        <v>ago-2026</v>
      </c>
    </row>
    <row r="30" ht="15.75" customHeight="1">
      <c r="A30" s="16">
        <v>29.0</v>
      </c>
      <c r="B30" s="17">
        <v>46240.0</v>
      </c>
      <c r="C30" s="16" t="s">
        <v>64</v>
      </c>
      <c r="D30" s="16" t="s">
        <v>65</v>
      </c>
      <c r="E30" s="16" t="s">
        <v>34</v>
      </c>
      <c r="F30" s="16" t="s">
        <v>77</v>
      </c>
      <c r="G30" s="16">
        <v>1.0</v>
      </c>
      <c r="H30" s="16" t="s">
        <v>67</v>
      </c>
      <c r="I30" s="27"/>
      <c r="J30" s="16" t="s">
        <v>69</v>
      </c>
      <c r="K30" s="27"/>
      <c r="L30" s="20">
        <f t="shared" si="1"/>
        <v>1</v>
      </c>
      <c r="M30" s="20">
        <f t="shared" si="2"/>
        <v>18</v>
      </c>
      <c r="N30" s="20" t="str">
        <f t="shared" si="3"/>
        <v>Grimmsnarl ex Froslass|18</v>
      </c>
      <c r="O30" s="20">
        <f t="shared" si="4"/>
        <v>13</v>
      </c>
      <c r="P30" s="22">
        <f t="shared" si="5"/>
        <v>0.7222222222</v>
      </c>
      <c r="Q30" s="20" t="str">
        <f t="shared" si="6"/>
        <v>1°</v>
      </c>
      <c r="R30" s="20" t="str">
        <f t="shared" si="7"/>
        <v>ago-2026</v>
      </c>
    </row>
    <row r="31" ht="15.75" customHeight="1">
      <c r="A31" s="23">
        <v>30.0</v>
      </c>
      <c r="B31" s="24">
        <v>46240.0</v>
      </c>
      <c r="C31" s="23" t="s">
        <v>64</v>
      </c>
      <c r="D31" s="23" t="s">
        <v>65</v>
      </c>
      <c r="E31" s="23" t="s">
        <v>34</v>
      </c>
      <c r="F31" s="23" t="s">
        <v>71</v>
      </c>
      <c r="G31" s="23">
        <v>2.0</v>
      </c>
      <c r="H31" s="23" t="s">
        <v>78</v>
      </c>
      <c r="I31" s="23" t="s">
        <v>100</v>
      </c>
      <c r="J31" s="23" t="s">
        <v>69</v>
      </c>
      <c r="L31" s="25">
        <f t="shared" si="1"/>
        <v>0</v>
      </c>
      <c r="M31" s="25">
        <f t="shared" si="2"/>
        <v>19</v>
      </c>
      <c r="N31" s="25" t="str">
        <f t="shared" si="3"/>
        <v>Grimmsnarl ex Froslass|19</v>
      </c>
      <c r="O31" s="25">
        <f t="shared" si="4"/>
        <v>13</v>
      </c>
      <c r="P31" s="26">
        <f t="shared" si="5"/>
        <v>0.6842105263</v>
      </c>
      <c r="Q31" s="25" t="str">
        <f t="shared" si="6"/>
        <v>2°</v>
      </c>
      <c r="R31" s="25" t="str">
        <f t="shared" si="7"/>
        <v>ago-2026</v>
      </c>
    </row>
    <row r="32" ht="15.75" customHeight="1">
      <c r="A32" s="16">
        <v>31.0</v>
      </c>
      <c r="B32" s="17">
        <v>46240.0</v>
      </c>
      <c r="C32" s="16" t="s">
        <v>64</v>
      </c>
      <c r="D32" s="16" t="s">
        <v>65</v>
      </c>
      <c r="E32" s="16" t="s">
        <v>34</v>
      </c>
      <c r="F32" s="16" t="s">
        <v>129</v>
      </c>
      <c r="G32" s="16">
        <v>1.0</v>
      </c>
      <c r="H32" s="16" t="s">
        <v>67</v>
      </c>
      <c r="I32" s="27"/>
      <c r="J32" s="16" t="s">
        <v>69</v>
      </c>
      <c r="K32" s="27"/>
      <c r="L32" s="20">
        <f t="shared" si="1"/>
        <v>1</v>
      </c>
      <c r="M32" s="20">
        <f t="shared" si="2"/>
        <v>20</v>
      </c>
      <c r="N32" s="20" t="str">
        <f t="shared" si="3"/>
        <v>Grimmsnarl ex Froslass|20</v>
      </c>
      <c r="O32" s="20">
        <f t="shared" si="4"/>
        <v>14</v>
      </c>
      <c r="P32" s="22">
        <f t="shared" si="5"/>
        <v>0.7</v>
      </c>
      <c r="Q32" s="20" t="str">
        <f t="shared" si="6"/>
        <v>1°</v>
      </c>
      <c r="R32" s="20" t="str">
        <f t="shared" si="7"/>
        <v>ago-2026</v>
      </c>
    </row>
    <row r="33" ht="15.75" customHeight="1">
      <c r="A33" s="23">
        <v>32.0</v>
      </c>
      <c r="B33" s="24">
        <v>46240.0</v>
      </c>
      <c r="C33" s="23" t="s">
        <v>64</v>
      </c>
      <c r="D33" s="23" t="s">
        <v>65</v>
      </c>
      <c r="E33" s="23" t="s">
        <v>34</v>
      </c>
      <c r="F33" s="23" t="s">
        <v>80</v>
      </c>
      <c r="G33" s="23">
        <v>1.0</v>
      </c>
      <c r="H33" s="23" t="s">
        <v>67</v>
      </c>
      <c r="J33" s="23" t="s">
        <v>69</v>
      </c>
      <c r="L33" s="25">
        <f t="shared" si="1"/>
        <v>1</v>
      </c>
      <c r="M33" s="25">
        <f t="shared" si="2"/>
        <v>21</v>
      </c>
      <c r="N33" s="25" t="str">
        <f t="shared" si="3"/>
        <v>Grimmsnarl ex Froslass|21</v>
      </c>
      <c r="O33" s="25">
        <f t="shared" si="4"/>
        <v>15</v>
      </c>
      <c r="P33" s="26">
        <f t="shared" si="5"/>
        <v>0.7142857143</v>
      </c>
      <c r="Q33" s="25" t="str">
        <f t="shared" si="6"/>
        <v>1°</v>
      </c>
      <c r="R33" s="25" t="str">
        <f t="shared" si="7"/>
        <v>ago-2026</v>
      </c>
    </row>
    <row r="34" ht="15.75" customHeight="1">
      <c r="A34" s="16">
        <v>33.0</v>
      </c>
      <c r="B34" s="17">
        <v>46240.0</v>
      </c>
      <c r="C34" s="16" t="s">
        <v>64</v>
      </c>
      <c r="D34" s="16" t="s">
        <v>65</v>
      </c>
      <c r="E34" s="16" t="s">
        <v>34</v>
      </c>
      <c r="F34" s="16" t="s">
        <v>120</v>
      </c>
      <c r="G34" s="16">
        <v>2.0</v>
      </c>
      <c r="H34" s="16" t="s">
        <v>67</v>
      </c>
      <c r="I34" s="27"/>
      <c r="J34" s="16" t="s">
        <v>69</v>
      </c>
      <c r="K34" s="16" t="s">
        <v>130</v>
      </c>
      <c r="L34" s="20">
        <f t="shared" si="1"/>
        <v>1</v>
      </c>
      <c r="M34" s="20">
        <f t="shared" si="2"/>
        <v>22</v>
      </c>
      <c r="N34" s="20" t="str">
        <f t="shared" si="3"/>
        <v>Grimmsnarl ex Froslass|22</v>
      </c>
      <c r="O34" s="20">
        <f t="shared" si="4"/>
        <v>16</v>
      </c>
      <c r="P34" s="22">
        <f t="shared" si="5"/>
        <v>0.7272727273</v>
      </c>
      <c r="Q34" s="20" t="str">
        <f t="shared" si="6"/>
        <v>2°</v>
      </c>
      <c r="R34" s="20" t="str">
        <f t="shared" si="7"/>
        <v>ago-2026</v>
      </c>
    </row>
    <row r="35" ht="15.75" customHeight="1">
      <c r="A35" s="23">
        <v>34.0</v>
      </c>
      <c r="B35" s="24">
        <v>46240.0</v>
      </c>
      <c r="C35" s="23" t="s">
        <v>64</v>
      </c>
      <c r="D35" s="23" t="s">
        <v>65</v>
      </c>
      <c r="E35" s="23" t="s">
        <v>34</v>
      </c>
      <c r="F35" s="23" t="s">
        <v>131</v>
      </c>
      <c r="G35" s="23">
        <v>1.0</v>
      </c>
      <c r="H35" s="23" t="s">
        <v>78</v>
      </c>
      <c r="I35" s="23" t="s">
        <v>100</v>
      </c>
      <c r="J35" s="23" t="s">
        <v>69</v>
      </c>
      <c r="L35" s="25">
        <f t="shared" si="1"/>
        <v>0</v>
      </c>
      <c r="M35" s="25">
        <f t="shared" si="2"/>
        <v>23</v>
      </c>
      <c r="N35" s="25" t="str">
        <f t="shared" si="3"/>
        <v>Grimmsnarl ex Froslass|23</v>
      </c>
      <c r="O35" s="25">
        <f t="shared" si="4"/>
        <v>16</v>
      </c>
      <c r="P35" s="26">
        <f t="shared" si="5"/>
        <v>0.6956521739</v>
      </c>
      <c r="Q35" s="25" t="str">
        <f t="shared" si="6"/>
        <v>1°</v>
      </c>
      <c r="R35" s="25" t="str">
        <f t="shared" si="7"/>
        <v>ago-2026</v>
      </c>
    </row>
    <row r="36" ht="15.75" customHeight="1">
      <c r="A36" s="16">
        <v>35.0</v>
      </c>
      <c r="B36" s="17">
        <v>46240.0</v>
      </c>
      <c r="C36" s="16" t="s">
        <v>64</v>
      </c>
      <c r="D36" s="16" t="s">
        <v>65</v>
      </c>
      <c r="E36" s="16" t="s">
        <v>34</v>
      </c>
      <c r="F36" s="16" t="s">
        <v>132</v>
      </c>
      <c r="G36" s="16">
        <v>2.0</v>
      </c>
      <c r="H36" s="16" t="s">
        <v>67</v>
      </c>
      <c r="I36" s="27"/>
      <c r="J36" s="16" t="s">
        <v>69</v>
      </c>
      <c r="K36" s="16" t="s">
        <v>134</v>
      </c>
      <c r="L36" s="20">
        <f t="shared" si="1"/>
        <v>1</v>
      </c>
      <c r="M36" s="20">
        <f t="shared" si="2"/>
        <v>24</v>
      </c>
      <c r="N36" s="20" t="str">
        <f t="shared" si="3"/>
        <v>Grimmsnarl ex Froslass|24</v>
      </c>
      <c r="O36" s="20">
        <f t="shared" si="4"/>
        <v>17</v>
      </c>
      <c r="P36" s="22">
        <f t="shared" si="5"/>
        <v>0.7083333333</v>
      </c>
      <c r="Q36" s="20" t="str">
        <f t="shared" si="6"/>
        <v>2°</v>
      </c>
      <c r="R36" s="20" t="str">
        <f t="shared" si="7"/>
        <v>ago-2026</v>
      </c>
    </row>
    <row r="37" ht="15.75" customHeight="1">
      <c r="A37" s="23">
        <v>36.0</v>
      </c>
      <c r="B37" s="24">
        <v>46240.0</v>
      </c>
      <c r="C37" s="23" t="s">
        <v>64</v>
      </c>
      <c r="D37" s="23" t="s">
        <v>65</v>
      </c>
      <c r="E37" s="23" t="s">
        <v>34</v>
      </c>
      <c r="F37" s="23" t="s">
        <v>133</v>
      </c>
      <c r="G37" s="23">
        <v>1.0</v>
      </c>
      <c r="H37" s="23" t="s">
        <v>67</v>
      </c>
      <c r="J37" s="23" t="s">
        <v>69</v>
      </c>
      <c r="K37" s="23"/>
      <c r="L37" s="25">
        <f t="shared" si="1"/>
        <v>1</v>
      </c>
      <c r="M37" s="25">
        <f t="shared" si="2"/>
        <v>25</v>
      </c>
      <c r="N37" s="25" t="str">
        <f t="shared" si="3"/>
        <v>Grimmsnarl ex Froslass|25</v>
      </c>
      <c r="O37" s="25">
        <f t="shared" si="4"/>
        <v>18</v>
      </c>
      <c r="P37" s="26">
        <f t="shared" si="5"/>
        <v>0.72</v>
      </c>
      <c r="Q37" s="25" t="str">
        <f t="shared" si="6"/>
        <v>1°</v>
      </c>
      <c r="R37" s="25" t="str">
        <f t="shared" si="7"/>
        <v>ago-2026</v>
      </c>
    </row>
    <row r="38" ht="15.75" customHeight="1">
      <c r="A38" s="16">
        <v>37.0</v>
      </c>
      <c r="B38" s="17">
        <v>46245.0</v>
      </c>
      <c r="C38" s="16" t="s">
        <v>64</v>
      </c>
      <c r="D38" s="16" t="s">
        <v>65</v>
      </c>
      <c r="E38" s="16" t="s">
        <v>34</v>
      </c>
      <c r="F38" s="16" t="s">
        <v>71</v>
      </c>
      <c r="G38" s="16">
        <v>1.0</v>
      </c>
      <c r="H38" s="16" t="s">
        <v>67</v>
      </c>
      <c r="I38" s="27"/>
      <c r="J38" s="16" t="s">
        <v>69</v>
      </c>
      <c r="K38" s="16" t="s">
        <v>136</v>
      </c>
      <c r="L38" s="20">
        <f t="shared" si="1"/>
        <v>1</v>
      </c>
      <c r="M38" s="20">
        <f t="shared" si="2"/>
        <v>26</v>
      </c>
      <c r="N38" s="20" t="str">
        <f t="shared" si="3"/>
        <v>Grimmsnarl ex Froslass|26</v>
      </c>
      <c r="O38" s="20">
        <f t="shared" si="4"/>
        <v>19</v>
      </c>
      <c r="P38" s="22">
        <f t="shared" si="5"/>
        <v>0.7307692308</v>
      </c>
      <c r="Q38" s="20" t="str">
        <f t="shared" si="6"/>
        <v>1°</v>
      </c>
      <c r="R38" s="20" t="str">
        <f t="shared" si="7"/>
        <v>ago-2026</v>
      </c>
    </row>
    <row r="39" ht="15.75" customHeight="1">
      <c r="A39" s="23">
        <v>38.0</v>
      </c>
      <c r="B39" s="24">
        <v>46245.0</v>
      </c>
      <c r="C39" s="23" t="s">
        <v>64</v>
      </c>
      <c r="D39" s="23" t="s">
        <v>65</v>
      </c>
      <c r="E39" s="23" t="s">
        <v>34</v>
      </c>
      <c r="F39" s="23" t="s">
        <v>92</v>
      </c>
      <c r="G39" s="23">
        <v>1.0</v>
      </c>
      <c r="H39" s="23" t="s">
        <v>67</v>
      </c>
      <c r="I39" s="23" t="s">
        <v>137</v>
      </c>
      <c r="J39" s="23" t="s">
        <v>69</v>
      </c>
      <c r="K39" s="23" t="s">
        <v>138</v>
      </c>
      <c r="L39" s="25">
        <f t="shared" si="1"/>
        <v>1</v>
      </c>
      <c r="M39" s="25">
        <f t="shared" si="2"/>
        <v>27</v>
      </c>
      <c r="N39" s="25" t="str">
        <f t="shared" si="3"/>
        <v>Grimmsnarl ex Froslass|27</v>
      </c>
      <c r="O39" s="25">
        <f t="shared" si="4"/>
        <v>20</v>
      </c>
      <c r="P39" s="26">
        <f t="shared" si="5"/>
        <v>0.7407407407</v>
      </c>
      <c r="Q39" s="25" t="str">
        <f t="shared" si="6"/>
        <v>1°</v>
      </c>
      <c r="R39" s="25" t="str">
        <f t="shared" si="7"/>
        <v>ago-2026</v>
      </c>
    </row>
    <row r="40" ht="15.75" customHeight="1">
      <c r="A40" s="16">
        <v>39.0</v>
      </c>
      <c r="B40" s="17">
        <v>46245.0</v>
      </c>
      <c r="C40" s="16" t="s">
        <v>64</v>
      </c>
      <c r="D40" s="16" t="s">
        <v>65</v>
      </c>
      <c r="E40" s="16" t="s">
        <v>34</v>
      </c>
      <c r="F40" s="16" t="s">
        <v>73</v>
      </c>
      <c r="G40" s="16">
        <v>2.0</v>
      </c>
      <c r="H40" s="16" t="s">
        <v>67</v>
      </c>
      <c r="I40" s="27"/>
      <c r="J40" s="16" t="s">
        <v>69</v>
      </c>
      <c r="K40" s="16" t="s">
        <v>139</v>
      </c>
      <c r="L40" s="20">
        <f t="shared" si="1"/>
        <v>1</v>
      </c>
      <c r="M40" s="20">
        <f t="shared" si="2"/>
        <v>28</v>
      </c>
      <c r="N40" s="20" t="str">
        <f t="shared" si="3"/>
        <v>Grimmsnarl ex Froslass|28</v>
      </c>
      <c r="O40" s="20">
        <f t="shared" si="4"/>
        <v>21</v>
      </c>
      <c r="P40" s="22">
        <f t="shared" si="5"/>
        <v>0.75</v>
      </c>
      <c r="Q40" s="20" t="str">
        <f t="shared" si="6"/>
        <v>2°</v>
      </c>
      <c r="R40" s="20" t="str">
        <f t="shared" si="7"/>
        <v>ago-2026</v>
      </c>
    </row>
    <row r="41" ht="15.75" customHeight="1">
      <c r="A41" s="23">
        <v>40.0</v>
      </c>
      <c r="B41" s="24">
        <v>46245.0</v>
      </c>
      <c r="C41" s="23" t="s">
        <v>64</v>
      </c>
      <c r="D41" s="23" t="s">
        <v>65</v>
      </c>
      <c r="E41" s="23" t="s">
        <v>34</v>
      </c>
      <c r="F41" s="23" t="s">
        <v>77</v>
      </c>
      <c r="G41" s="23">
        <v>2.0</v>
      </c>
      <c r="H41" s="23" t="s">
        <v>78</v>
      </c>
      <c r="J41" s="23" t="s">
        <v>69</v>
      </c>
      <c r="L41" s="25">
        <f t="shared" si="1"/>
        <v>0</v>
      </c>
      <c r="M41" s="25">
        <f t="shared" si="2"/>
        <v>29</v>
      </c>
      <c r="N41" s="25" t="str">
        <f t="shared" si="3"/>
        <v>Grimmsnarl ex Froslass|29</v>
      </c>
      <c r="O41" s="25">
        <f t="shared" si="4"/>
        <v>21</v>
      </c>
      <c r="P41" s="26">
        <f t="shared" si="5"/>
        <v>0.724137931</v>
      </c>
      <c r="Q41" s="25" t="str">
        <f t="shared" si="6"/>
        <v>2°</v>
      </c>
      <c r="R41" s="25" t="str">
        <f t="shared" si="7"/>
        <v>ago-2026</v>
      </c>
    </row>
    <row r="42" ht="15.75" customHeight="1">
      <c r="A42" s="16">
        <v>41.0</v>
      </c>
      <c r="B42" s="17">
        <v>46245.0</v>
      </c>
      <c r="C42" s="16" t="s">
        <v>64</v>
      </c>
      <c r="D42" s="16" t="s">
        <v>65</v>
      </c>
      <c r="E42" s="16" t="s">
        <v>34</v>
      </c>
      <c r="F42" s="16" t="s">
        <v>135</v>
      </c>
      <c r="G42" s="16">
        <v>1.0</v>
      </c>
      <c r="H42" s="16" t="s">
        <v>67</v>
      </c>
      <c r="I42" s="27"/>
      <c r="J42" s="16" t="s">
        <v>69</v>
      </c>
      <c r="K42" s="27"/>
      <c r="L42" s="20">
        <f t="shared" si="1"/>
        <v>1</v>
      </c>
      <c r="M42" s="20">
        <f t="shared" si="2"/>
        <v>30</v>
      </c>
      <c r="N42" s="20" t="str">
        <f t="shared" si="3"/>
        <v>Grimmsnarl ex Froslass|30</v>
      </c>
      <c r="O42" s="20">
        <f t="shared" si="4"/>
        <v>22</v>
      </c>
      <c r="P42" s="22">
        <f t="shared" si="5"/>
        <v>0.7333333333</v>
      </c>
      <c r="Q42" s="20" t="str">
        <f t="shared" si="6"/>
        <v>1°</v>
      </c>
      <c r="R42" s="20" t="str">
        <f t="shared" si="7"/>
        <v>ago-2026</v>
      </c>
    </row>
    <row r="43" ht="15.75" customHeight="1">
      <c r="A43" s="23">
        <v>42.0</v>
      </c>
      <c r="B43" s="24">
        <v>46246.0</v>
      </c>
      <c r="C43" s="23" t="s">
        <v>64</v>
      </c>
      <c r="D43" s="23" t="s">
        <v>106</v>
      </c>
      <c r="E43" s="23" t="s">
        <v>49</v>
      </c>
      <c r="F43" s="23" t="s">
        <v>71</v>
      </c>
      <c r="G43" s="23">
        <v>1.0</v>
      </c>
      <c r="H43" s="23" t="s">
        <v>78</v>
      </c>
      <c r="J43" s="23" t="s">
        <v>69</v>
      </c>
      <c r="L43" s="25">
        <f t="shared" si="1"/>
        <v>0</v>
      </c>
      <c r="M43" s="25">
        <f t="shared" si="2"/>
        <v>1</v>
      </c>
      <c r="N43" s="25" t="str">
        <f t="shared" si="3"/>
        <v>Area Della Festa|1</v>
      </c>
      <c r="O43" s="25">
        <f t="shared" si="4"/>
        <v>0</v>
      </c>
      <c r="P43" s="26">
        <f t="shared" si="5"/>
        <v>0</v>
      </c>
      <c r="Q43" s="25" t="str">
        <f t="shared" si="6"/>
        <v>1°</v>
      </c>
      <c r="R43" s="25" t="str">
        <f t="shared" si="7"/>
        <v>ago-2026</v>
      </c>
    </row>
    <row r="44" ht="15.75" customHeight="1">
      <c r="A44" s="16">
        <v>43.0</v>
      </c>
      <c r="B44" s="17">
        <v>46246.0</v>
      </c>
      <c r="C44" s="16" t="s">
        <v>64</v>
      </c>
      <c r="D44" s="16" t="s">
        <v>106</v>
      </c>
      <c r="E44" s="16" t="s">
        <v>49</v>
      </c>
      <c r="F44" s="16" t="s">
        <v>71</v>
      </c>
      <c r="G44" s="16">
        <v>1.0</v>
      </c>
      <c r="H44" s="16" t="s">
        <v>78</v>
      </c>
      <c r="I44" s="16" t="s">
        <v>100</v>
      </c>
      <c r="J44" s="16" t="s">
        <v>69</v>
      </c>
      <c r="K44" s="27"/>
      <c r="L44" s="20">
        <f t="shared" si="1"/>
        <v>0</v>
      </c>
      <c r="M44" s="20">
        <f t="shared" si="2"/>
        <v>2</v>
      </c>
      <c r="N44" s="20" t="str">
        <f t="shared" si="3"/>
        <v>Area Della Festa|2</v>
      </c>
      <c r="O44" s="20">
        <f t="shared" si="4"/>
        <v>0</v>
      </c>
      <c r="P44" s="22">
        <f t="shared" si="5"/>
        <v>0</v>
      </c>
      <c r="Q44" s="20" t="str">
        <f t="shared" si="6"/>
        <v>1°</v>
      </c>
      <c r="R44" s="20" t="str">
        <f t="shared" si="7"/>
        <v>ago-2026</v>
      </c>
    </row>
    <row r="45" ht="15.75" customHeight="1">
      <c r="A45" s="23">
        <v>44.0</v>
      </c>
      <c r="B45" s="24">
        <v>46246.0</v>
      </c>
      <c r="C45" s="23" t="s">
        <v>64</v>
      </c>
      <c r="D45" s="23" t="s">
        <v>106</v>
      </c>
      <c r="E45" s="23" t="s">
        <v>49</v>
      </c>
      <c r="F45" s="23" t="s">
        <v>71</v>
      </c>
      <c r="G45" s="23">
        <v>1.0</v>
      </c>
      <c r="H45" s="23" t="s">
        <v>78</v>
      </c>
      <c r="I45" s="23" t="s">
        <v>100</v>
      </c>
      <c r="J45" s="23" t="s">
        <v>69</v>
      </c>
      <c r="L45" s="25">
        <f t="shared" si="1"/>
        <v>0</v>
      </c>
      <c r="M45" s="25">
        <f t="shared" si="2"/>
        <v>3</v>
      </c>
      <c r="N45" s="25" t="str">
        <f t="shared" si="3"/>
        <v>Area Della Festa|3</v>
      </c>
      <c r="O45" s="25">
        <f t="shared" si="4"/>
        <v>0</v>
      </c>
      <c r="P45" s="26">
        <f t="shared" si="5"/>
        <v>0</v>
      </c>
      <c r="Q45" s="25" t="str">
        <f t="shared" si="6"/>
        <v>1°</v>
      </c>
      <c r="R45" s="25" t="str">
        <f t="shared" si="7"/>
        <v>ago-2026</v>
      </c>
    </row>
    <row r="46" ht="15.75" customHeight="1">
      <c r="A46" s="16">
        <v>45.0</v>
      </c>
      <c r="B46" s="17">
        <v>46245.0</v>
      </c>
      <c r="C46" s="16" t="s">
        <v>64</v>
      </c>
      <c r="D46" s="16" t="s">
        <v>65</v>
      </c>
      <c r="E46" s="16" t="s">
        <v>34</v>
      </c>
      <c r="F46" s="16" t="s">
        <v>71</v>
      </c>
      <c r="G46" s="16">
        <v>1.0</v>
      </c>
      <c r="H46" s="16" t="s">
        <v>78</v>
      </c>
      <c r="I46" s="16" t="s">
        <v>100</v>
      </c>
      <c r="J46" s="16" t="s">
        <v>69</v>
      </c>
      <c r="K46" s="27"/>
      <c r="L46" s="20">
        <f t="shared" si="1"/>
        <v>0</v>
      </c>
      <c r="M46" s="20">
        <f t="shared" si="2"/>
        <v>31</v>
      </c>
      <c r="N46" s="20" t="str">
        <f t="shared" si="3"/>
        <v>Grimmsnarl ex Froslass|31</v>
      </c>
      <c r="O46" s="20">
        <f t="shared" si="4"/>
        <v>22</v>
      </c>
      <c r="P46" s="22">
        <f t="shared" si="5"/>
        <v>0.7096774194</v>
      </c>
      <c r="Q46" s="20" t="str">
        <f t="shared" si="6"/>
        <v>1°</v>
      </c>
      <c r="R46" s="20" t="str">
        <f t="shared" si="7"/>
        <v>ago-2026</v>
      </c>
    </row>
    <row r="47" ht="15.75" customHeight="1">
      <c r="A47" s="23">
        <v>46.0</v>
      </c>
      <c r="B47" s="24">
        <v>46251.0</v>
      </c>
      <c r="C47" s="23" t="s">
        <v>64</v>
      </c>
      <c r="D47" s="23" t="s">
        <v>71</v>
      </c>
      <c r="E47" s="23" t="s">
        <v>38</v>
      </c>
      <c r="F47" s="23" t="s">
        <v>80</v>
      </c>
      <c r="G47" s="23">
        <v>1.0</v>
      </c>
      <c r="H47" s="23" t="s">
        <v>78</v>
      </c>
      <c r="J47" s="23" t="s">
        <v>69</v>
      </c>
      <c r="L47" s="25">
        <f t="shared" si="1"/>
        <v>0</v>
      </c>
      <c r="M47" s="25">
        <f t="shared" si="2"/>
        <v>12</v>
      </c>
      <c r="N47" s="25" t="str">
        <f t="shared" si="3"/>
        <v>Dragapult ex|12</v>
      </c>
      <c r="O47" s="25">
        <f t="shared" si="4"/>
        <v>7</v>
      </c>
      <c r="P47" s="26">
        <f t="shared" si="5"/>
        <v>0.5833333333</v>
      </c>
      <c r="Q47" s="25" t="str">
        <f t="shared" si="6"/>
        <v>1°</v>
      </c>
      <c r="R47" s="25" t="str">
        <f t="shared" si="7"/>
        <v>ago-2026</v>
      </c>
    </row>
    <row r="48" ht="15.75" customHeight="1">
      <c r="A48" s="16">
        <v>47.0</v>
      </c>
      <c r="B48" s="17">
        <v>46251.0</v>
      </c>
      <c r="C48" s="16" t="s">
        <v>64</v>
      </c>
      <c r="D48" s="16" t="s">
        <v>71</v>
      </c>
      <c r="E48" s="16" t="s">
        <v>38</v>
      </c>
      <c r="F48" s="16" t="s">
        <v>83</v>
      </c>
      <c r="G48" s="16">
        <v>1.0</v>
      </c>
      <c r="H48" s="16" t="s">
        <v>78</v>
      </c>
      <c r="I48" s="16" t="s">
        <v>100</v>
      </c>
      <c r="J48" s="16" t="s">
        <v>69</v>
      </c>
      <c r="K48" s="27"/>
      <c r="L48" s="20">
        <f t="shared" si="1"/>
        <v>0</v>
      </c>
      <c r="M48" s="20">
        <f t="shared" si="2"/>
        <v>13</v>
      </c>
      <c r="N48" s="20" t="str">
        <f t="shared" si="3"/>
        <v>Dragapult ex|13</v>
      </c>
      <c r="O48" s="20">
        <f t="shared" si="4"/>
        <v>7</v>
      </c>
      <c r="P48" s="22">
        <f t="shared" si="5"/>
        <v>0.5384615385</v>
      </c>
      <c r="Q48" s="20" t="str">
        <f t="shared" si="6"/>
        <v>1°</v>
      </c>
      <c r="R48" s="20" t="str">
        <f t="shared" si="7"/>
        <v>ago-2026</v>
      </c>
    </row>
    <row r="49" ht="15.75" customHeight="1">
      <c r="A49" s="23">
        <v>48.0</v>
      </c>
      <c r="B49" s="24">
        <v>46251.0</v>
      </c>
      <c r="C49" s="23" t="s">
        <v>64</v>
      </c>
      <c r="D49" s="23" t="s">
        <v>71</v>
      </c>
      <c r="E49" s="23" t="s">
        <v>38</v>
      </c>
      <c r="F49" s="23" t="s">
        <v>140</v>
      </c>
      <c r="G49" s="23">
        <v>1.0</v>
      </c>
      <c r="H49" s="23" t="s">
        <v>67</v>
      </c>
      <c r="J49" s="23" t="s">
        <v>69</v>
      </c>
      <c r="L49" s="25">
        <f t="shared" si="1"/>
        <v>1</v>
      </c>
      <c r="M49" s="25">
        <f t="shared" si="2"/>
        <v>14</v>
      </c>
      <c r="N49" s="25" t="str">
        <f t="shared" si="3"/>
        <v>Dragapult ex|14</v>
      </c>
      <c r="O49" s="25">
        <f t="shared" si="4"/>
        <v>8</v>
      </c>
      <c r="P49" s="26">
        <f t="shared" si="5"/>
        <v>0.5714285714</v>
      </c>
      <c r="Q49" s="25" t="str">
        <f t="shared" si="6"/>
        <v>1°</v>
      </c>
      <c r="R49" s="25" t="str">
        <f t="shared" si="7"/>
        <v>ago-2026</v>
      </c>
    </row>
    <row r="50" ht="15.75" customHeight="1">
      <c r="A50" s="16">
        <v>49.0</v>
      </c>
      <c r="B50" s="17">
        <v>46251.0</v>
      </c>
      <c r="C50" s="16" t="s">
        <v>64</v>
      </c>
      <c r="D50" s="16" t="s">
        <v>71</v>
      </c>
      <c r="E50" s="16" t="s">
        <v>38</v>
      </c>
      <c r="F50" s="16" t="s">
        <v>118</v>
      </c>
      <c r="G50" s="16">
        <v>1.0</v>
      </c>
      <c r="H50" s="16" t="s">
        <v>67</v>
      </c>
      <c r="I50" s="16" t="s">
        <v>100</v>
      </c>
      <c r="J50" s="16" t="s">
        <v>69</v>
      </c>
      <c r="K50" s="27"/>
      <c r="L50" s="20">
        <f t="shared" si="1"/>
        <v>1</v>
      </c>
      <c r="M50" s="20">
        <f t="shared" si="2"/>
        <v>15</v>
      </c>
      <c r="N50" s="20" t="str">
        <f t="shared" si="3"/>
        <v>Dragapult ex|15</v>
      </c>
      <c r="O50" s="20">
        <f t="shared" si="4"/>
        <v>9</v>
      </c>
      <c r="P50" s="22">
        <f t="shared" si="5"/>
        <v>0.6</v>
      </c>
      <c r="Q50" s="20" t="str">
        <f t="shared" si="6"/>
        <v>1°</v>
      </c>
      <c r="R50" s="20" t="str">
        <f t="shared" si="7"/>
        <v>ago-2026</v>
      </c>
    </row>
    <row r="51" ht="15.75" customHeight="1">
      <c r="A51" s="23">
        <v>50.0</v>
      </c>
      <c r="B51" s="24">
        <v>46252.0</v>
      </c>
      <c r="C51" s="23" t="s">
        <v>64</v>
      </c>
      <c r="D51" s="23" t="s">
        <v>71</v>
      </c>
      <c r="E51" s="23" t="s">
        <v>38</v>
      </c>
      <c r="F51" s="23" t="s">
        <v>141</v>
      </c>
      <c r="G51" s="23">
        <v>2.0</v>
      </c>
      <c r="H51" s="23" t="s">
        <v>67</v>
      </c>
      <c r="I51" s="23" t="s">
        <v>100</v>
      </c>
      <c r="J51" s="23" t="s">
        <v>69</v>
      </c>
      <c r="L51" s="25">
        <f t="shared" si="1"/>
        <v>1</v>
      </c>
      <c r="M51" s="25">
        <f t="shared" si="2"/>
        <v>16</v>
      </c>
      <c r="N51" s="25" t="str">
        <f t="shared" si="3"/>
        <v>Dragapult ex|16</v>
      </c>
      <c r="O51" s="25">
        <f t="shared" si="4"/>
        <v>10</v>
      </c>
      <c r="P51" s="26">
        <f t="shared" si="5"/>
        <v>0.625</v>
      </c>
      <c r="Q51" s="25" t="str">
        <f t="shared" si="6"/>
        <v>2°</v>
      </c>
      <c r="R51" s="25" t="str">
        <f t="shared" si="7"/>
        <v>ago-2026</v>
      </c>
    </row>
    <row r="52" ht="15.75" customHeight="1">
      <c r="A52" s="16">
        <v>51.0</v>
      </c>
      <c r="B52" s="17">
        <v>46252.0</v>
      </c>
      <c r="C52" s="16" t="s">
        <v>64</v>
      </c>
      <c r="D52" s="16" t="s">
        <v>71</v>
      </c>
      <c r="E52" s="16" t="s">
        <v>38</v>
      </c>
      <c r="F52" s="16" t="s">
        <v>71</v>
      </c>
      <c r="G52" s="16">
        <v>1.0</v>
      </c>
      <c r="H52" s="16" t="s">
        <v>67</v>
      </c>
      <c r="I52" s="16" t="s">
        <v>72</v>
      </c>
      <c r="J52" s="16" t="s">
        <v>69</v>
      </c>
      <c r="K52" s="27"/>
      <c r="L52" s="20">
        <f t="shared" si="1"/>
        <v>1</v>
      </c>
      <c r="M52" s="20">
        <f t="shared" si="2"/>
        <v>17</v>
      </c>
      <c r="N52" s="20" t="str">
        <f t="shared" si="3"/>
        <v>Dragapult ex|17</v>
      </c>
      <c r="O52" s="20">
        <f t="shared" si="4"/>
        <v>11</v>
      </c>
      <c r="P52" s="22">
        <f t="shared" si="5"/>
        <v>0.6470588235</v>
      </c>
      <c r="Q52" s="20" t="str">
        <f t="shared" si="6"/>
        <v>1°</v>
      </c>
      <c r="R52" s="20" t="str">
        <f t="shared" si="7"/>
        <v>ago-2026</v>
      </c>
    </row>
    <row r="53" ht="15.75" customHeight="1">
      <c r="A53" s="23">
        <v>52.0</v>
      </c>
      <c r="B53" s="24">
        <v>46252.0</v>
      </c>
      <c r="C53" s="23" t="s">
        <v>64</v>
      </c>
      <c r="D53" s="23" t="s">
        <v>71</v>
      </c>
      <c r="E53" s="23" t="s">
        <v>38</v>
      </c>
      <c r="F53" s="23" t="s">
        <v>65</v>
      </c>
      <c r="G53" s="23">
        <v>1.0</v>
      </c>
      <c r="H53" s="23" t="s">
        <v>67</v>
      </c>
      <c r="I53" s="23" t="s">
        <v>72</v>
      </c>
      <c r="J53" s="23" t="s">
        <v>69</v>
      </c>
      <c r="K53" s="23" t="s">
        <v>142</v>
      </c>
      <c r="L53" s="25">
        <f t="shared" si="1"/>
        <v>1</v>
      </c>
      <c r="M53" s="25">
        <f t="shared" si="2"/>
        <v>18</v>
      </c>
      <c r="N53" s="25" t="str">
        <f t="shared" si="3"/>
        <v>Dragapult ex|18</v>
      </c>
      <c r="O53" s="25">
        <f t="shared" si="4"/>
        <v>12</v>
      </c>
      <c r="P53" s="26">
        <f t="shared" si="5"/>
        <v>0.6666666667</v>
      </c>
      <c r="Q53" s="25" t="str">
        <f t="shared" si="6"/>
        <v>1°</v>
      </c>
      <c r="R53" s="25" t="str">
        <f t="shared" si="7"/>
        <v>ago-2026</v>
      </c>
    </row>
    <row r="54" ht="15.75" customHeight="1">
      <c r="A54" s="16">
        <v>53.0</v>
      </c>
      <c r="B54" s="17">
        <v>46252.0</v>
      </c>
      <c r="C54" s="16" t="s">
        <v>64</v>
      </c>
      <c r="D54" s="16" t="s">
        <v>71</v>
      </c>
      <c r="E54" s="16" t="s">
        <v>38</v>
      </c>
      <c r="F54" s="16" t="s">
        <v>71</v>
      </c>
      <c r="G54" s="16">
        <v>1.0</v>
      </c>
      <c r="H54" s="16" t="s">
        <v>67</v>
      </c>
      <c r="I54" s="27"/>
      <c r="J54" s="16" t="s">
        <v>69</v>
      </c>
      <c r="K54" s="16" t="s">
        <v>143</v>
      </c>
      <c r="L54" s="20">
        <f t="shared" si="1"/>
        <v>1</v>
      </c>
      <c r="M54" s="20">
        <f t="shared" si="2"/>
        <v>19</v>
      </c>
      <c r="N54" s="20" t="str">
        <f t="shared" si="3"/>
        <v>Dragapult ex|19</v>
      </c>
      <c r="O54" s="20">
        <f t="shared" si="4"/>
        <v>13</v>
      </c>
      <c r="P54" s="22">
        <f t="shared" si="5"/>
        <v>0.6842105263</v>
      </c>
      <c r="Q54" s="20" t="str">
        <f t="shared" si="6"/>
        <v>1°</v>
      </c>
      <c r="R54" s="20" t="str">
        <f t="shared" si="7"/>
        <v>ago-2026</v>
      </c>
    </row>
    <row r="55" ht="15.75" customHeight="1">
      <c r="A55" s="23">
        <v>54.0</v>
      </c>
      <c r="B55" s="24">
        <v>46252.0</v>
      </c>
      <c r="C55" s="23" t="s">
        <v>64</v>
      </c>
      <c r="D55" s="23" t="s">
        <v>71</v>
      </c>
      <c r="E55" s="23" t="s">
        <v>38</v>
      </c>
      <c r="F55" s="23" t="s">
        <v>144</v>
      </c>
      <c r="G55" s="23">
        <v>1.0</v>
      </c>
      <c r="H55" s="23" t="s">
        <v>78</v>
      </c>
      <c r="I55" s="23" t="s">
        <v>100</v>
      </c>
      <c r="J55" s="23" t="s">
        <v>69</v>
      </c>
      <c r="L55" s="25">
        <f t="shared" si="1"/>
        <v>0</v>
      </c>
      <c r="M55" s="25">
        <f t="shared" si="2"/>
        <v>20</v>
      </c>
      <c r="N55" s="25" t="str">
        <f t="shared" si="3"/>
        <v>Dragapult ex|20</v>
      </c>
      <c r="O55" s="25">
        <f t="shared" si="4"/>
        <v>13</v>
      </c>
      <c r="P55" s="26">
        <f t="shared" si="5"/>
        <v>0.65</v>
      </c>
      <c r="Q55" s="25" t="str">
        <f t="shared" si="6"/>
        <v>1°</v>
      </c>
      <c r="R55" s="25" t="str">
        <f t="shared" si="7"/>
        <v>ago-2026</v>
      </c>
    </row>
    <row r="56" ht="15.75" customHeight="1">
      <c r="A56" s="16">
        <v>55.0</v>
      </c>
      <c r="B56" s="17">
        <v>46254.0</v>
      </c>
      <c r="C56" s="16" t="s">
        <v>64</v>
      </c>
      <c r="D56" s="16" t="s">
        <v>145</v>
      </c>
      <c r="E56" s="16" t="s">
        <v>46</v>
      </c>
      <c r="F56" s="16" t="s">
        <v>65</v>
      </c>
      <c r="G56" s="16">
        <v>1.0</v>
      </c>
      <c r="H56" s="16" t="s">
        <v>67</v>
      </c>
      <c r="I56" s="16" t="s">
        <v>100</v>
      </c>
      <c r="J56" s="16" t="s">
        <v>69</v>
      </c>
      <c r="K56" s="16" t="s">
        <v>146</v>
      </c>
      <c r="L56" s="20">
        <f t="shared" si="1"/>
        <v>1</v>
      </c>
      <c r="M56" s="20">
        <f t="shared" si="2"/>
        <v>1</v>
      </c>
      <c r="N56" s="20" t="str">
        <f t="shared" si="3"/>
        <v>Ragingbolt ex Ogerpon ex|1</v>
      </c>
      <c r="O56" s="20">
        <f t="shared" si="4"/>
        <v>1</v>
      </c>
      <c r="P56" s="22">
        <f t="shared" si="5"/>
        <v>1</v>
      </c>
      <c r="Q56" s="20" t="str">
        <f t="shared" si="6"/>
        <v>1°</v>
      </c>
      <c r="R56" s="20" t="str">
        <f t="shared" si="7"/>
        <v>ago-2026</v>
      </c>
    </row>
    <row r="57" ht="15.75" customHeight="1">
      <c r="A57" s="23">
        <v>56.0</v>
      </c>
      <c r="B57" s="24">
        <v>46254.0</v>
      </c>
      <c r="C57" s="23" t="s">
        <v>64</v>
      </c>
      <c r="D57" s="23" t="s">
        <v>145</v>
      </c>
      <c r="E57" s="23" t="s">
        <v>46</v>
      </c>
      <c r="F57" s="23" t="s">
        <v>92</v>
      </c>
      <c r="G57" s="23">
        <v>1.0</v>
      </c>
      <c r="H57" s="23" t="s">
        <v>78</v>
      </c>
      <c r="J57" s="23" t="s">
        <v>147</v>
      </c>
      <c r="L57" s="25">
        <f t="shared" si="1"/>
        <v>0</v>
      </c>
      <c r="M57" s="25">
        <f t="shared" si="2"/>
        <v>2</v>
      </c>
      <c r="N57" s="25" t="str">
        <f t="shared" si="3"/>
        <v>Ragingbolt ex Ogerpon ex|2</v>
      </c>
      <c r="O57" s="25">
        <f t="shared" si="4"/>
        <v>1</v>
      </c>
      <c r="P57" s="26">
        <f t="shared" si="5"/>
        <v>0.5</v>
      </c>
      <c r="Q57" s="25" t="str">
        <f t="shared" si="6"/>
        <v>1°</v>
      </c>
      <c r="R57" s="25" t="str">
        <f t="shared" si="7"/>
        <v>ago-2026</v>
      </c>
    </row>
    <row r="58" ht="15.75" customHeight="1">
      <c r="A58" s="16">
        <v>57.0</v>
      </c>
      <c r="B58" s="17">
        <v>46254.0</v>
      </c>
      <c r="C58" s="16" t="s">
        <v>64</v>
      </c>
      <c r="D58" s="16" t="s">
        <v>145</v>
      </c>
      <c r="E58" s="16" t="s">
        <v>46</v>
      </c>
      <c r="F58" s="16" t="s">
        <v>92</v>
      </c>
      <c r="G58" s="16">
        <v>2.0</v>
      </c>
      <c r="H58" s="16" t="s">
        <v>78</v>
      </c>
      <c r="I58" s="27"/>
      <c r="J58" s="16" t="s">
        <v>147</v>
      </c>
      <c r="K58" s="27"/>
      <c r="L58" s="20">
        <f t="shared" si="1"/>
        <v>0</v>
      </c>
      <c r="M58" s="20">
        <f t="shared" si="2"/>
        <v>3</v>
      </c>
      <c r="N58" s="20" t="str">
        <f t="shared" si="3"/>
        <v>Ragingbolt ex Ogerpon ex|3</v>
      </c>
      <c r="O58" s="20">
        <f t="shared" si="4"/>
        <v>1</v>
      </c>
      <c r="P58" s="22">
        <f t="shared" si="5"/>
        <v>0.3333333333</v>
      </c>
      <c r="Q58" s="20" t="str">
        <f t="shared" si="6"/>
        <v>2°</v>
      </c>
      <c r="R58" s="20" t="str">
        <f t="shared" si="7"/>
        <v>ago-2026</v>
      </c>
    </row>
    <row r="59" ht="15.75" customHeight="1">
      <c r="A59" s="23">
        <v>58.0</v>
      </c>
      <c r="B59" s="24">
        <v>46254.0</v>
      </c>
      <c r="C59" s="23" t="s">
        <v>64</v>
      </c>
      <c r="D59" s="23" t="s">
        <v>145</v>
      </c>
      <c r="E59" s="23" t="s">
        <v>46</v>
      </c>
      <c r="F59" s="23" t="s">
        <v>92</v>
      </c>
      <c r="G59" s="23">
        <v>2.0</v>
      </c>
      <c r="H59" s="23" t="s">
        <v>67</v>
      </c>
      <c r="J59" s="23" t="s">
        <v>147</v>
      </c>
      <c r="L59" s="25">
        <f t="shared" si="1"/>
        <v>1</v>
      </c>
      <c r="M59" s="25">
        <f t="shared" si="2"/>
        <v>4</v>
      </c>
      <c r="N59" s="25" t="str">
        <f t="shared" si="3"/>
        <v>Ragingbolt ex Ogerpon ex|4</v>
      </c>
      <c r="O59" s="25">
        <f t="shared" si="4"/>
        <v>2</v>
      </c>
      <c r="P59" s="26">
        <f t="shared" si="5"/>
        <v>0.5</v>
      </c>
      <c r="Q59" s="25" t="str">
        <f t="shared" si="6"/>
        <v>2°</v>
      </c>
      <c r="R59" s="25" t="str">
        <f t="shared" si="7"/>
        <v>ago-2026</v>
      </c>
    </row>
    <row r="60" ht="15.75" customHeight="1">
      <c r="A60" s="16">
        <v>59.0</v>
      </c>
      <c r="B60" s="17">
        <v>46254.0</v>
      </c>
      <c r="C60" s="16" t="s">
        <v>64</v>
      </c>
      <c r="D60" s="16" t="s">
        <v>145</v>
      </c>
      <c r="E60" s="16" t="s">
        <v>46</v>
      </c>
      <c r="F60" s="16" t="s">
        <v>124</v>
      </c>
      <c r="G60" s="16">
        <v>2.0</v>
      </c>
      <c r="H60" s="16" t="s">
        <v>67</v>
      </c>
      <c r="I60" s="27"/>
      <c r="J60" s="16" t="s">
        <v>147</v>
      </c>
      <c r="K60" s="27"/>
      <c r="L60" s="20">
        <f t="shared" si="1"/>
        <v>1</v>
      </c>
      <c r="M60" s="20">
        <f t="shared" si="2"/>
        <v>5</v>
      </c>
      <c r="N60" s="20" t="str">
        <f t="shared" si="3"/>
        <v>Ragingbolt ex Ogerpon ex|5</v>
      </c>
      <c r="O60" s="20">
        <f t="shared" si="4"/>
        <v>3</v>
      </c>
      <c r="P60" s="22">
        <f t="shared" si="5"/>
        <v>0.6</v>
      </c>
      <c r="Q60" s="20" t="str">
        <f t="shared" si="6"/>
        <v>2°</v>
      </c>
      <c r="R60" s="20" t="str">
        <f t="shared" si="7"/>
        <v>ago-2026</v>
      </c>
    </row>
    <row r="61" ht="15.75" customHeight="1">
      <c r="A61" s="23">
        <v>60.0</v>
      </c>
      <c r="B61" s="24">
        <v>46254.0</v>
      </c>
      <c r="C61" s="23" t="s">
        <v>64</v>
      </c>
      <c r="D61" s="23" t="s">
        <v>145</v>
      </c>
      <c r="E61" s="23" t="s">
        <v>46</v>
      </c>
      <c r="F61" s="23" t="s">
        <v>124</v>
      </c>
      <c r="G61" s="23">
        <v>2.0</v>
      </c>
      <c r="H61" s="23" t="s">
        <v>67</v>
      </c>
      <c r="J61" s="23" t="s">
        <v>147</v>
      </c>
      <c r="L61" s="25">
        <f t="shared" si="1"/>
        <v>1</v>
      </c>
      <c r="M61" s="25">
        <f t="shared" si="2"/>
        <v>6</v>
      </c>
      <c r="N61" s="25" t="str">
        <f t="shared" si="3"/>
        <v>Ragingbolt ex Ogerpon ex|6</v>
      </c>
      <c r="O61" s="25">
        <f t="shared" si="4"/>
        <v>4</v>
      </c>
      <c r="P61" s="26">
        <f t="shared" si="5"/>
        <v>0.6666666667</v>
      </c>
      <c r="Q61" s="25" t="str">
        <f t="shared" si="6"/>
        <v>2°</v>
      </c>
      <c r="R61" s="25" t="str">
        <f t="shared" si="7"/>
        <v>ago-2026</v>
      </c>
    </row>
    <row r="62" ht="15.75" customHeight="1">
      <c r="A62" s="16">
        <v>61.0</v>
      </c>
      <c r="B62" s="17">
        <v>46254.0</v>
      </c>
      <c r="C62" s="16" t="s">
        <v>64</v>
      </c>
      <c r="D62" s="16" t="s">
        <v>145</v>
      </c>
      <c r="E62" s="16" t="s">
        <v>46</v>
      </c>
      <c r="F62" s="16" t="s">
        <v>124</v>
      </c>
      <c r="G62" s="16">
        <v>2.0</v>
      </c>
      <c r="H62" s="16" t="s">
        <v>78</v>
      </c>
      <c r="I62" s="27"/>
      <c r="J62" s="16" t="s">
        <v>147</v>
      </c>
      <c r="K62" s="27"/>
      <c r="L62" s="20">
        <f t="shared" si="1"/>
        <v>0</v>
      </c>
      <c r="M62" s="20">
        <f t="shared" si="2"/>
        <v>7</v>
      </c>
      <c r="N62" s="20" t="str">
        <f t="shared" si="3"/>
        <v>Ragingbolt ex Ogerpon ex|7</v>
      </c>
      <c r="O62" s="20">
        <f t="shared" si="4"/>
        <v>4</v>
      </c>
      <c r="P62" s="22">
        <f t="shared" si="5"/>
        <v>0.5714285714</v>
      </c>
      <c r="Q62" s="20" t="str">
        <f t="shared" si="6"/>
        <v>2°</v>
      </c>
      <c r="R62" s="20" t="str">
        <f t="shared" si="7"/>
        <v>ago-2026</v>
      </c>
    </row>
    <row r="63" ht="15.75" customHeight="1">
      <c r="A63" s="23">
        <v>62.0</v>
      </c>
      <c r="B63" s="24">
        <v>46254.0</v>
      </c>
      <c r="C63" s="23" t="s">
        <v>64</v>
      </c>
      <c r="D63" s="23" t="s">
        <v>145</v>
      </c>
      <c r="E63" s="23" t="s">
        <v>46</v>
      </c>
      <c r="F63" s="23" t="s">
        <v>148</v>
      </c>
      <c r="G63" s="23">
        <v>1.0</v>
      </c>
      <c r="H63" s="23" t="s">
        <v>78</v>
      </c>
      <c r="I63" s="23" t="s">
        <v>100</v>
      </c>
      <c r="J63" s="23" t="s">
        <v>69</v>
      </c>
      <c r="L63" s="25">
        <f t="shared" si="1"/>
        <v>0</v>
      </c>
      <c r="M63" s="25">
        <f t="shared" si="2"/>
        <v>8</v>
      </c>
      <c r="N63" s="25" t="str">
        <f t="shared" si="3"/>
        <v>Ragingbolt ex Ogerpon ex|8</v>
      </c>
      <c r="O63" s="25">
        <f t="shared" si="4"/>
        <v>4</v>
      </c>
      <c r="P63" s="26">
        <f t="shared" si="5"/>
        <v>0.5</v>
      </c>
      <c r="Q63" s="25" t="str">
        <f t="shared" si="6"/>
        <v>1°</v>
      </c>
      <c r="R63" s="25" t="str">
        <f t="shared" si="7"/>
        <v>ago-2026</v>
      </c>
    </row>
    <row r="64" ht="15.75" customHeight="1">
      <c r="A64" s="16">
        <v>63.0</v>
      </c>
      <c r="B64" s="17">
        <v>46254.0</v>
      </c>
      <c r="C64" s="16" t="s">
        <v>64</v>
      </c>
      <c r="D64" s="16" t="s">
        <v>145</v>
      </c>
      <c r="E64" s="16" t="s">
        <v>46</v>
      </c>
      <c r="F64" s="16" t="s">
        <v>149</v>
      </c>
      <c r="G64" s="16">
        <v>1.0</v>
      </c>
      <c r="H64" s="16" t="s">
        <v>78</v>
      </c>
      <c r="I64" s="16" t="s">
        <v>100</v>
      </c>
      <c r="J64" s="16" t="s">
        <v>69</v>
      </c>
      <c r="K64" s="16" t="s">
        <v>150</v>
      </c>
      <c r="L64" s="20">
        <f t="shared" si="1"/>
        <v>0</v>
      </c>
      <c r="M64" s="20">
        <f t="shared" si="2"/>
        <v>9</v>
      </c>
      <c r="N64" s="20" t="str">
        <f t="shared" si="3"/>
        <v>Ragingbolt ex Ogerpon ex|9</v>
      </c>
      <c r="O64" s="20">
        <f t="shared" si="4"/>
        <v>4</v>
      </c>
      <c r="P64" s="22">
        <f t="shared" si="5"/>
        <v>0.4444444444</v>
      </c>
      <c r="Q64" s="20" t="str">
        <f t="shared" si="6"/>
        <v>1°</v>
      </c>
      <c r="R64" s="20" t="str">
        <f t="shared" si="7"/>
        <v>ago-2026</v>
      </c>
    </row>
    <row r="65" ht="15.75" customHeight="1">
      <c r="A65" s="23">
        <v>64.0</v>
      </c>
      <c r="B65" s="24">
        <v>46254.0</v>
      </c>
      <c r="C65" s="23" t="s">
        <v>64</v>
      </c>
      <c r="D65" s="23" t="s">
        <v>145</v>
      </c>
      <c r="E65" s="23" t="s">
        <v>46</v>
      </c>
      <c r="F65" s="23" t="s">
        <v>71</v>
      </c>
      <c r="G65" s="23">
        <v>1.0</v>
      </c>
      <c r="H65" s="23" t="s">
        <v>78</v>
      </c>
      <c r="I65" s="23" t="s">
        <v>100</v>
      </c>
      <c r="J65" s="23" t="s">
        <v>69</v>
      </c>
      <c r="K65" s="23" t="s">
        <v>151</v>
      </c>
      <c r="L65" s="25">
        <f t="shared" si="1"/>
        <v>0</v>
      </c>
      <c r="M65" s="25">
        <f t="shared" si="2"/>
        <v>10</v>
      </c>
      <c r="N65" s="25" t="str">
        <f t="shared" si="3"/>
        <v>Ragingbolt ex Ogerpon ex|10</v>
      </c>
      <c r="O65" s="25">
        <f t="shared" si="4"/>
        <v>4</v>
      </c>
      <c r="P65" s="26">
        <f t="shared" si="5"/>
        <v>0.4</v>
      </c>
      <c r="Q65" s="25" t="str">
        <f t="shared" si="6"/>
        <v>1°</v>
      </c>
      <c r="R65" s="25" t="str">
        <f t="shared" si="7"/>
        <v>ago-2026</v>
      </c>
    </row>
    <row r="66" ht="15.75" customHeight="1">
      <c r="A66" s="16">
        <v>65.0</v>
      </c>
      <c r="B66" s="17">
        <v>46254.0</v>
      </c>
      <c r="C66" s="16" t="s">
        <v>64</v>
      </c>
      <c r="D66" s="16" t="s">
        <v>145</v>
      </c>
      <c r="E66" s="16" t="s">
        <v>46</v>
      </c>
      <c r="F66" s="16" t="s">
        <v>120</v>
      </c>
      <c r="G66" s="16">
        <v>1.0</v>
      </c>
      <c r="H66" s="16" t="s">
        <v>67</v>
      </c>
      <c r="I66" s="27"/>
      <c r="J66" s="16" t="s">
        <v>69</v>
      </c>
      <c r="K66" s="16" t="s">
        <v>152</v>
      </c>
      <c r="L66" s="20">
        <f t="shared" si="1"/>
        <v>1</v>
      </c>
      <c r="M66" s="20">
        <f t="shared" si="2"/>
        <v>11</v>
      </c>
      <c r="N66" s="20" t="str">
        <f t="shared" si="3"/>
        <v>Ragingbolt ex Ogerpon ex|11</v>
      </c>
      <c r="O66" s="20">
        <f t="shared" si="4"/>
        <v>5</v>
      </c>
      <c r="P66" s="22">
        <f t="shared" si="5"/>
        <v>0.4545454545</v>
      </c>
      <c r="Q66" s="20" t="str">
        <f t="shared" si="6"/>
        <v>1°</v>
      </c>
      <c r="R66" s="20" t="str">
        <f t="shared" si="7"/>
        <v>ago-2026</v>
      </c>
    </row>
    <row r="67" ht="15.75" customHeight="1">
      <c r="A67" s="23">
        <v>66.0</v>
      </c>
      <c r="B67" s="24">
        <v>46254.0</v>
      </c>
      <c r="C67" s="23" t="s">
        <v>64</v>
      </c>
      <c r="D67" s="23" t="s">
        <v>140</v>
      </c>
      <c r="E67" s="23" t="s">
        <v>52</v>
      </c>
      <c r="F67" s="23" t="s">
        <v>153</v>
      </c>
      <c r="G67" s="23">
        <v>1.0</v>
      </c>
      <c r="H67" s="23" t="s">
        <v>78</v>
      </c>
      <c r="J67" s="23" t="s">
        <v>69</v>
      </c>
      <c r="K67" s="23" t="s">
        <v>154</v>
      </c>
      <c r="L67" s="25">
        <f t="shared" si="1"/>
        <v>0</v>
      </c>
      <c r="M67" s="25">
        <f t="shared" si="2"/>
        <v>1</v>
      </c>
      <c r="N67" s="25" t="str">
        <f t="shared" si="3"/>
        <v>Dragapult ex Blaziken ex|1</v>
      </c>
      <c r="O67" s="25">
        <f t="shared" si="4"/>
        <v>0</v>
      </c>
      <c r="P67" s="26">
        <f t="shared" si="5"/>
        <v>0</v>
      </c>
      <c r="Q67" s="25" t="str">
        <f t="shared" si="6"/>
        <v>1°</v>
      </c>
      <c r="R67" s="25" t="str">
        <f t="shared" si="7"/>
        <v>ago-2026</v>
      </c>
    </row>
    <row r="68" ht="15.75" customHeight="1">
      <c r="A68" s="16">
        <v>67.0</v>
      </c>
      <c r="B68" s="17">
        <v>46254.0</v>
      </c>
      <c r="C68" s="16" t="s">
        <v>64</v>
      </c>
      <c r="D68" s="16" t="s">
        <v>140</v>
      </c>
      <c r="E68" s="16" t="s">
        <v>52</v>
      </c>
      <c r="F68" s="16" t="s">
        <v>153</v>
      </c>
      <c r="G68" s="16">
        <v>1.0</v>
      </c>
      <c r="H68" s="16" t="s">
        <v>67</v>
      </c>
      <c r="I68" s="27"/>
      <c r="J68" s="16" t="s">
        <v>69</v>
      </c>
      <c r="K68" s="27"/>
      <c r="L68" s="20">
        <f t="shared" si="1"/>
        <v>1</v>
      </c>
      <c r="M68" s="20">
        <f t="shared" si="2"/>
        <v>2</v>
      </c>
      <c r="N68" s="20" t="str">
        <f t="shared" si="3"/>
        <v>Dragapult ex Blaziken ex|2</v>
      </c>
      <c r="O68" s="20">
        <f t="shared" si="4"/>
        <v>1</v>
      </c>
      <c r="P68" s="22">
        <f t="shared" si="5"/>
        <v>0.5</v>
      </c>
      <c r="Q68" s="20" t="str">
        <f t="shared" si="6"/>
        <v>1°</v>
      </c>
      <c r="R68" s="20" t="str">
        <f t="shared" si="7"/>
        <v>ago-2026</v>
      </c>
    </row>
    <row r="69" ht="15.75" customHeight="1">
      <c r="A69" s="23">
        <v>68.0</v>
      </c>
      <c r="B69" s="24">
        <v>46254.0</v>
      </c>
      <c r="C69" s="23" t="s">
        <v>64</v>
      </c>
      <c r="D69" s="23" t="s">
        <v>140</v>
      </c>
      <c r="E69" s="23" t="s">
        <v>52</v>
      </c>
      <c r="F69" s="23" t="s">
        <v>92</v>
      </c>
      <c r="G69" s="23">
        <v>1.0</v>
      </c>
      <c r="H69" s="23" t="s">
        <v>67</v>
      </c>
      <c r="J69" s="23" t="s">
        <v>69</v>
      </c>
      <c r="L69" s="25">
        <f t="shared" si="1"/>
        <v>1</v>
      </c>
      <c r="M69" s="25">
        <f t="shared" si="2"/>
        <v>3</v>
      </c>
      <c r="N69" s="25" t="str">
        <f t="shared" si="3"/>
        <v>Dragapult ex Blaziken ex|3</v>
      </c>
      <c r="O69" s="25">
        <f t="shared" si="4"/>
        <v>2</v>
      </c>
      <c r="P69" s="26">
        <f t="shared" si="5"/>
        <v>0.6666666667</v>
      </c>
      <c r="Q69" s="25" t="str">
        <f t="shared" si="6"/>
        <v>1°</v>
      </c>
      <c r="R69" s="25" t="str">
        <f t="shared" si="7"/>
        <v>ago-2026</v>
      </c>
    </row>
    <row r="70" ht="15.75" customHeight="1">
      <c r="A70" s="16">
        <v>69.0</v>
      </c>
      <c r="B70" s="17">
        <v>46254.0</v>
      </c>
      <c r="C70" s="16" t="s">
        <v>64</v>
      </c>
      <c r="D70" s="16" t="s">
        <v>140</v>
      </c>
      <c r="E70" s="16" t="s">
        <v>52</v>
      </c>
      <c r="F70" s="16" t="s">
        <v>155</v>
      </c>
      <c r="G70" s="16">
        <v>1.0</v>
      </c>
      <c r="H70" s="16" t="s">
        <v>78</v>
      </c>
      <c r="I70" s="16" t="s">
        <v>128</v>
      </c>
      <c r="J70" s="16" t="s">
        <v>69</v>
      </c>
      <c r="K70" s="27"/>
      <c r="L70" s="20">
        <f t="shared" si="1"/>
        <v>0</v>
      </c>
      <c r="M70" s="20">
        <f t="shared" si="2"/>
        <v>4</v>
      </c>
      <c r="N70" s="20" t="str">
        <f t="shared" si="3"/>
        <v>Dragapult ex Blaziken ex|4</v>
      </c>
      <c r="O70" s="20">
        <f t="shared" si="4"/>
        <v>2</v>
      </c>
      <c r="P70" s="22">
        <f t="shared" si="5"/>
        <v>0.5</v>
      </c>
      <c r="Q70" s="20" t="str">
        <f t="shared" si="6"/>
        <v>1°</v>
      </c>
      <c r="R70" s="20" t="str">
        <f t="shared" si="7"/>
        <v>ago-2026</v>
      </c>
    </row>
    <row r="71" ht="15.75" customHeight="1">
      <c r="A71" s="23">
        <v>70.0</v>
      </c>
      <c r="B71" s="24">
        <v>46254.0</v>
      </c>
      <c r="C71" s="23" t="s">
        <v>64</v>
      </c>
      <c r="D71" s="23" t="s">
        <v>140</v>
      </c>
      <c r="E71" s="23" t="s">
        <v>52</v>
      </c>
      <c r="F71" s="23" t="s">
        <v>77</v>
      </c>
      <c r="G71" s="23">
        <v>2.0</v>
      </c>
      <c r="H71" s="23" t="s">
        <v>67</v>
      </c>
      <c r="J71" s="23" t="s">
        <v>69</v>
      </c>
      <c r="L71" s="25">
        <f t="shared" si="1"/>
        <v>1</v>
      </c>
      <c r="M71" s="25">
        <f t="shared" si="2"/>
        <v>5</v>
      </c>
      <c r="N71" s="25" t="str">
        <f t="shared" si="3"/>
        <v>Dragapult ex Blaziken ex|5</v>
      </c>
      <c r="O71" s="25">
        <f t="shared" si="4"/>
        <v>3</v>
      </c>
      <c r="P71" s="26">
        <f t="shared" si="5"/>
        <v>0.6</v>
      </c>
      <c r="Q71" s="25" t="str">
        <f t="shared" si="6"/>
        <v>2°</v>
      </c>
      <c r="R71" s="25" t="str">
        <f t="shared" si="7"/>
        <v>ago-2026</v>
      </c>
    </row>
    <row r="72" ht="15.75" customHeight="1">
      <c r="A72" s="16">
        <v>71.0</v>
      </c>
      <c r="B72" s="17">
        <v>46254.0</v>
      </c>
      <c r="C72" s="16" t="s">
        <v>64</v>
      </c>
      <c r="D72" s="16" t="s">
        <v>71</v>
      </c>
      <c r="E72" s="16" t="s">
        <v>42</v>
      </c>
      <c r="F72" s="16" t="s">
        <v>83</v>
      </c>
      <c r="G72" s="16">
        <v>1.0</v>
      </c>
      <c r="H72" s="16" t="s">
        <v>78</v>
      </c>
      <c r="I72" s="16" t="s">
        <v>100</v>
      </c>
      <c r="J72" s="16" t="s">
        <v>69</v>
      </c>
      <c r="K72" s="27"/>
      <c r="L72" s="20">
        <f t="shared" si="1"/>
        <v>0</v>
      </c>
      <c r="M72" s="20">
        <f t="shared" si="2"/>
        <v>21</v>
      </c>
      <c r="N72" s="20" t="str">
        <f t="shared" si="3"/>
        <v>Dragapult ex|21</v>
      </c>
      <c r="O72" s="20">
        <f t="shared" si="4"/>
        <v>13</v>
      </c>
      <c r="P72" s="22">
        <f t="shared" si="5"/>
        <v>0.619047619</v>
      </c>
      <c r="Q72" s="20" t="str">
        <f t="shared" si="6"/>
        <v>1°</v>
      </c>
      <c r="R72" s="20" t="str">
        <f t="shared" si="7"/>
        <v>ago-2026</v>
      </c>
    </row>
    <row r="73" ht="15.75" customHeight="1">
      <c r="A73" s="23">
        <v>72.0</v>
      </c>
      <c r="B73" s="24">
        <v>46254.0</v>
      </c>
      <c r="C73" s="23" t="s">
        <v>64</v>
      </c>
      <c r="D73" s="23" t="s">
        <v>71</v>
      </c>
      <c r="E73" s="23" t="s">
        <v>42</v>
      </c>
      <c r="F73" s="23" t="s">
        <v>65</v>
      </c>
      <c r="G73" s="23">
        <v>1.0</v>
      </c>
      <c r="H73" s="23" t="s">
        <v>67</v>
      </c>
      <c r="I73" s="23" t="s">
        <v>74</v>
      </c>
      <c r="J73" s="23" t="s">
        <v>69</v>
      </c>
      <c r="L73" s="25">
        <f t="shared" si="1"/>
        <v>1</v>
      </c>
      <c r="M73" s="25">
        <f t="shared" si="2"/>
        <v>22</v>
      </c>
      <c r="N73" s="25" t="str">
        <f t="shared" si="3"/>
        <v>Dragapult ex|22</v>
      </c>
      <c r="O73" s="25">
        <f t="shared" si="4"/>
        <v>14</v>
      </c>
      <c r="P73" s="26">
        <f t="shared" si="5"/>
        <v>0.6363636364</v>
      </c>
      <c r="Q73" s="25" t="str">
        <f t="shared" si="6"/>
        <v>1°</v>
      </c>
      <c r="R73" s="25" t="str">
        <f t="shared" si="7"/>
        <v>ago-2026</v>
      </c>
    </row>
    <row r="74" ht="15.75" customHeight="1">
      <c r="A74" s="16">
        <v>73.0</v>
      </c>
      <c r="B74" s="17">
        <v>46254.0</v>
      </c>
      <c r="C74" s="16" t="s">
        <v>64</v>
      </c>
      <c r="D74" s="16" t="s">
        <v>71</v>
      </c>
      <c r="E74" s="16" t="s">
        <v>42</v>
      </c>
      <c r="F74" s="16" t="s">
        <v>135</v>
      </c>
      <c r="G74" s="16">
        <v>1.0</v>
      </c>
      <c r="H74" s="16" t="s">
        <v>67</v>
      </c>
      <c r="I74" s="16" t="s">
        <v>74</v>
      </c>
      <c r="J74" s="16" t="s">
        <v>69</v>
      </c>
      <c r="K74" s="27"/>
      <c r="L74" s="20">
        <f t="shared" si="1"/>
        <v>1</v>
      </c>
      <c r="M74" s="20">
        <f t="shared" si="2"/>
        <v>23</v>
      </c>
      <c r="N74" s="20" t="str">
        <f t="shared" si="3"/>
        <v>Dragapult ex|23</v>
      </c>
      <c r="O74" s="20">
        <f t="shared" si="4"/>
        <v>15</v>
      </c>
      <c r="P74" s="22">
        <f t="shared" si="5"/>
        <v>0.652173913</v>
      </c>
      <c r="Q74" s="20" t="str">
        <f t="shared" si="6"/>
        <v>1°</v>
      </c>
      <c r="R74" s="20" t="str">
        <f t="shared" si="7"/>
        <v>ago-2026</v>
      </c>
    </row>
    <row r="75" ht="15.75" customHeight="1">
      <c r="A75" s="23">
        <v>74.0</v>
      </c>
      <c r="B75" s="24">
        <v>46256.0</v>
      </c>
      <c r="C75" s="23" t="s">
        <v>64</v>
      </c>
      <c r="D75" s="23" t="s">
        <v>140</v>
      </c>
      <c r="E75" s="23" t="s">
        <v>52</v>
      </c>
      <c r="F75" s="23" t="s">
        <v>155</v>
      </c>
      <c r="G75" s="23">
        <v>2.0</v>
      </c>
      <c r="H75" s="23" t="s">
        <v>67</v>
      </c>
      <c r="J75" s="23" t="s">
        <v>69</v>
      </c>
      <c r="L75" s="25">
        <f t="shared" si="1"/>
        <v>1</v>
      </c>
      <c r="M75" s="25">
        <f t="shared" si="2"/>
        <v>6</v>
      </c>
      <c r="N75" s="25" t="str">
        <f t="shared" si="3"/>
        <v>Dragapult ex Blaziken ex|6</v>
      </c>
      <c r="O75" s="25">
        <f t="shared" si="4"/>
        <v>4</v>
      </c>
      <c r="P75" s="26">
        <f t="shared" si="5"/>
        <v>0.6666666667</v>
      </c>
      <c r="Q75" s="25" t="str">
        <f t="shared" si="6"/>
        <v>2°</v>
      </c>
      <c r="R75" s="25" t="str">
        <f t="shared" si="7"/>
        <v>ago-2026</v>
      </c>
    </row>
    <row r="76" ht="15.75" customHeight="1">
      <c r="A76" s="16">
        <v>75.0</v>
      </c>
      <c r="B76" s="17">
        <v>46256.0</v>
      </c>
      <c r="C76" s="16" t="s">
        <v>64</v>
      </c>
      <c r="D76" s="16" t="s">
        <v>140</v>
      </c>
      <c r="E76" s="16" t="s">
        <v>52</v>
      </c>
      <c r="F76" s="16" t="s">
        <v>83</v>
      </c>
      <c r="G76" s="16">
        <v>2.0</v>
      </c>
      <c r="H76" s="16" t="s">
        <v>67</v>
      </c>
      <c r="I76" s="27"/>
      <c r="J76" s="16" t="s">
        <v>69</v>
      </c>
      <c r="K76" s="27"/>
      <c r="L76" s="20">
        <f t="shared" si="1"/>
        <v>1</v>
      </c>
      <c r="M76" s="20">
        <f t="shared" si="2"/>
        <v>7</v>
      </c>
      <c r="N76" s="20" t="str">
        <f t="shared" si="3"/>
        <v>Dragapult ex Blaziken ex|7</v>
      </c>
      <c r="O76" s="20">
        <f t="shared" si="4"/>
        <v>5</v>
      </c>
      <c r="P76" s="22">
        <f t="shared" si="5"/>
        <v>0.7142857143</v>
      </c>
      <c r="Q76" s="20" t="str">
        <f t="shared" si="6"/>
        <v>2°</v>
      </c>
      <c r="R76" s="20" t="str">
        <f t="shared" si="7"/>
        <v>ago-2026</v>
      </c>
    </row>
    <row r="77" ht="15.75" customHeight="1">
      <c r="A77" s="23">
        <v>76.0</v>
      </c>
      <c r="B77" s="24">
        <v>46256.0</v>
      </c>
      <c r="C77" s="23" t="s">
        <v>64</v>
      </c>
      <c r="D77" s="23" t="s">
        <v>140</v>
      </c>
      <c r="E77" s="23" t="s">
        <v>52</v>
      </c>
      <c r="F77" s="23" t="s">
        <v>71</v>
      </c>
      <c r="G77" s="23">
        <v>1.0</v>
      </c>
      <c r="H77" s="23" t="s">
        <v>67</v>
      </c>
      <c r="J77" s="23" t="s">
        <v>69</v>
      </c>
      <c r="L77" s="25">
        <f t="shared" si="1"/>
        <v>1</v>
      </c>
      <c r="M77" s="25">
        <f t="shared" si="2"/>
        <v>8</v>
      </c>
      <c r="N77" s="25" t="str">
        <f t="shared" si="3"/>
        <v>Dragapult ex Blaziken ex|8</v>
      </c>
      <c r="O77" s="25">
        <f t="shared" si="4"/>
        <v>6</v>
      </c>
      <c r="P77" s="26">
        <f t="shared" si="5"/>
        <v>0.75</v>
      </c>
      <c r="Q77" s="25" t="str">
        <f t="shared" si="6"/>
        <v>1°</v>
      </c>
      <c r="R77" s="25" t="str">
        <f t="shared" si="7"/>
        <v>ago-2026</v>
      </c>
    </row>
    <row r="78" ht="15.75" customHeight="1">
      <c r="A78" s="16">
        <v>77.0</v>
      </c>
      <c r="B78" s="17">
        <v>46256.0</v>
      </c>
      <c r="C78" s="16" t="s">
        <v>64</v>
      </c>
      <c r="D78" s="16" t="s">
        <v>140</v>
      </c>
      <c r="E78" s="16" t="s">
        <v>52</v>
      </c>
      <c r="F78" s="16" t="s">
        <v>120</v>
      </c>
      <c r="G78" s="16">
        <v>2.0</v>
      </c>
      <c r="H78" s="16" t="s">
        <v>67</v>
      </c>
      <c r="I78" s="27"/>
      <c r="J78" s="16" t="s">
        <v>69</v>
      </c>
      <c r="K78" s="27"/>
      <c r="L78" s="20">
        <f t="shared" si="1"/>
        <v>1</v>
      </c>
      <c r="M78" s="20">
        <f t="shared" si="2"/>
        <v>9</v>
      </c>
      <c r="N78" s="20" t="str">
        <f t="shared" si="3"/>
        <v>Dragapult ex Blaziken ex|9</v>
      </c>
      <c r="O78" s="20">
        <f t="shared" si="4"/>
        <v>7</v>
      </c>
      <c r="P78" s="22">
        <f t="shared" si="5"/>
        <v>0.7777777778</v>
      </c>
      <c r="Q78" s="20" t="str">
        <f t="shared" si="6"/>
        <v>2°</v>
      </c>
      <c r="R78" s="20" t="str">
        <f t="shared" si="7"/>
        <v>ago-2026</v>
      </c>
    </row>
    <row r="79" ht="15.75" customHeight="1">
      <c r="A79" s="23">
        <v>78.0</v>
      </c>
      <c r="B79" s="24">
        <v>46256.0</v>
      </c>
      <c r="C79" s="23" t="s">
        <v>64</v>
      </c>
      <c r="D79" s="23" t="s">
        <v>140</v>
      </c>
      <c r="E79" s="23" t="s">
        <v>52</v>
      </c>
      <c r="F79" s="23" t="s">
        <v>111</v>
      </c>
      <c r="G79" s="23">
        <v>2.0</v>
      </c>
      <c r="H79" s="23" t="s">
        <v>67</v>
      </c>
      <c r="J79" s="23" t="s">
        <v>69</v>
      </c>
      <c r="L79" s="25">
        <f t="shared" si="1"/>
        <v>1</v>
      </c>
      <c r="M79" s="25">
        <f t="shared" si="2"/>
        <v>10</v>
      </c>
      <c r="N79" s="25" t="str">
        <f t="shared" si="3"/>
        <v>Dragapult ex Blaziken ex|10</v>
      </c>
      <c r="O79" s="25">
        <f t="shared" si="4"/>
        <v>8</v>
      </c>
      <c r="P79" s="26">
        <f t="shared" si="5"/>
        <v>0.8</v>
      </c>
      <c r="Q79" s="25" t="str">
        <f t="shared" si="6"/>
        <v>2°</v>
      </c>
      <c r="R79" s="25" t="str">
        <f t="shared" si="7"/>
        <v>ago-2026</v>
      </c>
    </row>
    <row r="80" ht="15.75" customHeight="1">
      <c r="A80" s="16">
        <v>79.0</v>
      </c>
      <c r="B80" s="42">
        <v>46257.0</v>
      </c>
      <c r="C80" s="16" t="s">
        <v>64</v>
      </c>
      <c r="D80" s="16" t="s">
        <v>140</v>
      </c>
      <c r="E80" s="16" t="s">
        <v>52</v>
      </c>
      <c r="F80" s="16" t="s">
        <v>77</v>
      </c>
      <c r="G80" s="16">
        <v>2.0</v>
      </c>
      <c r="H80" s="16" t="s">
        <v>78</v>
      </c>
      <c r="I80" s="16" t="s">
        <v>100</v>
      </c>
      <c r="J80" s="16" t="s">
        <v>69</v>
      </c>
      <c r="K80" s="27"/>
      <c r="L80" s="20">
        <f t="shared" si="1"/>
        <v>0</v>
      </c>
      <c r="M80" s="20">
        <f t="shared" si="2"/>
        <v>11</v>
      </c>
      <c r="N80" s="20" t="str">
        <f t="shared" si="3"/>
        <v>Dragapult ex Blaziken ex|11</v>
      </c>
      <c r="O80" s="20">
        <f t="shared" si="4"/>
        <v>8</v>
      </c>
      <c r="P80" s="22">
        <f t="shared" si="5"/>
        <v>0.7272727273</v>
      </c>
      <c r="Q80" s="20" t="str">
        <f t="shared" si="6"/>
        <v>2°</v>
      </c>
      <c r="R80" s="20" t="str">
        <f t="shared" si="7"/>
        <v>ago-2026</v>
      </c>
    </row>
    <row r="81" ht="15.75" customHeight="1">
      <c r="A81" s="23">
        <v>80.0</v>
      </c>
      <c r="B81" s="42">
        <v>46257.0</v>
      </c>
      <c r="C81" s="23" t="s">
        <v>64</v>
      </c>
      <c r="D81" s="23" t="s">
        <v>140</v>
      </c>
      <c r="E81" s="23" t="s">
        <v>52</v>
      </c>
      <c r="F81" s="23" t="s">
        <v>106</v>
      </c>
      <c r="G81" s="23">
        <v>2.0</v>
      </c>
      <c r="H81" s="23" t="s">
        <v>67</v>
      </c>
      <c r="J81" s="23" t="s">
        <v>69</v>
      </c>
      <c r="L81" s="25">
        <f t="shared" si="1"/>
        <v>1</v>
      </c>
      <c r="M81" s="25">
        <f t="shared" si="2"/>
        <v>12</v>
      </c>
      <c r="N81" s="25" t="str">
        <f t="shared" si="3"/>
        <v>Dragapult ex Blaziken ex|12</v>
      </c>
      <c r="O81" s="25">
        <f t="shared" si="4"/>
        <v>9</v>
      </c>
      <c r="P81" s="26">
        <f t="shared" si="5"/>
        <v>0.75</v>
      </c>
      <c r="Q81" s="25" t="str">
        <f t="shared" si="6"/>
        <v>2°</v>
      </c>
      <c r="R81" s="25" t="str">
        <f t="shared" si="7"/>
        <v>ago-2026</v>
      </c>
    </row>
    <row r="82" ht="15.75" customHeight="1">
      <c r="A82" s="16">
        <v>81.0</v>
      </c>
      <c r="B82" s="42">
        <v>46257.0</v>
      </c>
      <c r="C82" s="16" t="s">
        <v>64</v>
      </c>
      <c r="D82" s="16" t="s">
        <v>140</v>
      </c>
      <c r="E82" s="16" t="s">
        <v>52</v>
      </c>
      <c r="F82" s="16" t="s">
        <v>71</v>
      </c>
      <c r="G82" s="16">
        <v>2.0</v>
      </c>
      <c r="H82" s="16" t="s">
        <v>67</v>
      </c>
      <c r="I82" s="27"/>
      <c r="J82" s="16" t="s">
        <v>69</v>
      </c>
      <c r="K82" s="27"/>
      <c r="L82" s="20">
        <f t="shared" si="1"/>
        <v>1</v>
      </c>
      <c r="M82" s="20">
        <f t="shared" si="2"/>
        <v>13</v>
      </c>
      <c r="N82" s="20" t="str">
        <f t="shared" si="3"/>
        <v>Dragapult ex Blaziken ex|13</v>
      </c>
      <c r="O82" s="20">
        <f t="shared" si="4"/>
        <v>10</v>
      </c>
      <c r="P82" s="22">
        <f t="shared" si="5"/>
        <v>0.7692307692</v>
      </c>
      <c r="Q82" s="20" t="str">
        <f t="shared" si="6"/>
        <v>2°</v>
      </c>
      <c r="R82" s="20" t="str">
        <f t="shared" si="7"/>
        <v>ago-2026</v>
      </c>
    </row>
    <row r="83" ht="15.75" customHeight="1">
      <c r="A83" s="23">
        <v>82.0</v>
      </c>
      <c r="B83" s="42">
        <v>46257.0</v>
      </c>
      <c r="C83" s="23" t="s">
        <v>64</v>
      </c>
      <c r="D83" s="23" t="s">
        <v>140</v>
      </c>
      <c r="E83" s="23" t="s">
        <v>52</v>
      </c>
      <c r="F83" s="23" t="s">
        <v>91</v>
      </c>
      <c r="G83" s="23">
        <v>2.0</v>
      </c>
      <c r="H83" s="23" t="s">
        <v>67</v>
      </c>
      <c r="J83" s="23" t="s">
        <v>69</v>
      </c>
      <c r="L83" s="25">
        <f t="shared" si="1"/>
        <v>1</v>
      </c>
      <c r="M83" s="25">
        <f t="shared" si="2"/>
        <v>14</v>
      </c>
      <c r="N83" s="25" t="str">
        <f t="shared" si="3"/>
        <v>Dragapult ex Blaziken ex|14</v>
      </c>
      <c r="O83" s="25">
        <f t="shared" si="4"/>
        <v>11</v>
      </c>
      <c r="P83" s="26">
        <f t="shared" si="5"/>
        <v>0.7857142857</v>
      </c>
      <c r="Q83" s="25" t="str">
        <f t="shared" si="6"/>
        <v>2°</v>
      </c>
      <c r="R83" s="25" t="str">
        <f t="shared" si="7"/>
        <v>ago-2026</v>
      </c>
    </row>
    <row r="84" ht="15.75" customHeight="1">
      <c r="A84" s="16">
        <v>83.0</v>
      </c>
      <c r="B84" s="42">
        <v>46257.0</v>
      </c>
      <c r="C84" s="16" t="s">
        <v>64</v>
      </c>
      <c r="D84" s="16" t="s">
        <v>140</v>
      </c>
      <c r="E84" s="16" t="s">
        <v>52</v>
      </c>
      <c r="F84" s="16" t="s">
        <v>92</v>
      </c>
      <c r="G84" s="16">
        <v>2.0</v>
      </c>
      <c r="H84" s="16" t="s">
        <v>67</v>
      </c>
      <c r="I84" s="27"/>
      <c r="J84" s="16" t="s">
        <v>69</v>
      </c>
      <c r="K84" s="27"/>
      <c r="L84" s="20">
        <f t="shared" si="1"/>
        <v>1</v>
      </c>
      <c r="M84" s="20">
        <f t="shared" si="2"/>
        <v>15</v>
      </c>
      <c r="N84" s="20" t="str">
        <f t="shared" si="3"/>
        <v>Dragapult ex Blaziken ex|15</v>
      </c>
      <c r="O84" s="20">
        <f t="shared" si="4"/>
        <v>12</v>
      </c>
      <c r="P84" s="22">
        <f t="shared" si="5"/>
        <v>0.8</v>
      </c>
      <c r="Q84" s="20" t="str">
        <f t="shared" si="6"/>
        <v>2°</v>
      </c>
      <c r="R84" s="20" t="str">
        <f t="shared" si="7"/>
        <v>ago-2026</v>
      </c>
    </row>
    <row r="85" ht="15.75" customHeight="1">
      <c r="A85" s="23">
        <v>84.0</v>
      </c>
      <c r="B85" s="24">
        <v>46254.0</v>
      </c>
      <c r="C85" s="23" t="s">
        <v>64</v>
      </c>
      <c r="D85" s="23" t="s">
        <v>140</v>
      </c>
      <c r="E85" s="23" t="s">
        <v>52</v>
      </c>
      <c r="F85" s="23" t="s">
        <v>106</v>
      </c>
      <c r="G85" s="23">
        <v>1.0</v>
      </c>
      <c r="H85" s="23" t="s">
        <v>78</v>
      </c>
      <c r="J85" s="23" t="s">
        <v>69</v>
      </c>
      <c r="L85" s="25">
        <f t="shared" si="1"/>
        <v>0</v>
      </c>
      <c r="M85" s="25">
        <f t="shared" si="2"/>
        <v>16</v>
      </c>
      <c r="N85" s="25" t="str">
        <f t="shared" si="3"/>
        <v>Dragapult ex Blaziken ex|16</v>
      </c>
      <c r="O85" s="25">
        <f t="shared" si="4"/>
        <v>12</v>
      </c>
      <c r="P85" s="26">
        <f t="shared" si="5"/>
        <v>0.75</v>
      </c>
      <c r="Q85" s="25" t="str">
        <f t="shared" si="6"/>
        <v>1°</v>
      </c>
      <c r="R85" s="25" t="str">
        <f t="shared" si="7"/>
        <v>ago-2026</v>
      </c>
    </row>
    <row r="86" ht="15.75" customHeight="1">
      <c r="A86" s="16">
        <v>85.0</v>
      </c>
      <c r="B86" s="17">
        <v>46254.0</v>
      </c>
      <c r="C86" s="16" t="s">
        <v>64</v>
      </c>
      <c r="D86" s="16" t="s">
        <v>140</v>
      </c>
      <c r="E86" s="16" t="s">
        <v>52</v>
      </c>
      <c r="F86" s="16" t="s">
        <v>120</v>
      </c>
      <c r="G86" s="16">
        <v>1.0</v>
      </c>
      <c r="H86" s="16" t="s">
        <v>67</v>
      </c>
      <c r="I86" s="27"/>
      <c r="J86" s="16" t="s">
        <v>69</v>
      </c>
      <c r="K86" s="27"/>
      <c r="L86" s="20">
        <f t="shared" si="1"/>
        <v>1</v>
      </c>
      <c r="M86" s="20">
        <f t="shared" si="2"/>
        <v>17</v>
      </c>
      <c r="N86" s="20" t="str">
        <f t="shared" si="3"/>
        <v>Dragapult ex Blaziken ex|17</v>
      </c>
      <c r="O86" s="20">
        <f t="shared" si="4"/>
        <v>13</v>
      </c>
      <c r="P86" s="22">
        <f t="shared" si="5"/>
        <v>0.7647058824</v>
      </c>
      <c r="Q86" s="20" t="str">
        <f t="shared" si="6"/>
        <v>1°</v>
      </c>
      <c r="R86" s="20" t="str">
        <f t="shared" si="7"/>
        <v>ago-2026</v>
      </c>
    </row>
    <row r="87" ht="15.75" customHeight="1">
      <c r="A87" s="23">
        <v>86.0</v>
      </c>
      <c r="B87" s="24">
        <v>46254.0</v>
      </c>
      <c r="C87" s="23" t="s">
        <v>64</v>
      </c>
      <c r="D87" s="23" t="s">
        <v>140</v>
      </c>
      <c r="E87" s="23" t="s">
        <v>52</v>
      </c>
      <c r="F87" s="23" t="s">
        <v>126</v>
      </c>
      <c r="G87" s="23">
        <v>2.0</v>
      </c>
      <c r="H87" s="23" t="s">
        <v>78</v>
      </c>
      <c r="J87" s="23" t="s">
        <v>69</v>
      </c>
      <c r="K87" s="23" t="s">
        <v>156</v>
      </c>
      <c r="L87" s="25">
        <f t="shared" si="1"/>
        <v>0</v>
      </c>
      <c r="M87" s="25">
        <f t="shared" si="2"/>
        <v>18</v>
      </c>
      <c r="N87" s="25" t="str">
        <f t="shared" si="3"/>
        <v>Dragapult ex Blaziken ex|18</v>
      </c>
      <c r="O87" s="25">
        <f t="shared" si="4"/>
        <v>13</v>
      </c>
      <c r="P87" s="26">
        <f t="shared" si="5"/>
        <v>0.7222222222</v>
      </c>
      <c r="Q87" s="25" t="str">
        <f t="shared" si="6"/>
        <v>2°</v>
      </c>
      <c r="R87" s="25" t="str">
        <f t="shared" si="7"/>
        <v>ago-2026</v>
      </c>
    </row>
    <row r="88" ht="15.75" customHeight="1">
      <c r="A88" s="16">
        <v>87.0</v>
      </c>
      <c r="B88" s="17">
        <v>46254.0</v>
      </c>
      <c r="C88" s="16" t="s">
        <v>64</v>
      </c>
      <c r="D88" s="16" t="s">
        <v>140</v>
      </c>
      <c r="E88" s="16" t="s">
        <v>52</v>
      </c>
      <c r="F88" s="16" t="s">
        <v>140</v>
      </c>
      <c r="G88" s="16">
        <v>2.0</v>
      </c>
      <c r="H88" s="16" t="s">
        <v>67</v>
      </c>
      <c r="I88" s="27"/>
      <c r="J88" s="16" t="s">
        <v>69</v>
      </c>
      <c r="K88" s="16" t="s">
        <v>157</v>
      </c>
      <c r="L88" s="20">
        <f t="shared" si="1"/>
        <v>1</v>
      </c>
      <c r="M88" s="20">
        <f t="shared" si="2"/>
        <v>19</v>
      </c>
      <c r="N88" s="20" t="str">
        <f t="shared" si="3"/>
        <v>Dragapult ex Blaziken ex|19</v>
      </c>
      <c r="O88" s="20">
        <f t="shared" si="4"/>
        <v>14</v>
      </c>
      <c r="P88" s="22">
        <f t="shared" si="5"/>
        <v>0.7368421053</v>
      </c>
      <c r="Q88" s="20" t="str">
        <f t="shared" si="6"/>
        <v>2°</v>
      </c>
      <c r="R88" s="20" t="str">
        <f t="shared" si="7"/>
        <v>ago-2026</v>
      </c>
    </row>
    <row r="89" ht="15.75" customHeight="1">
      <c r="A89" s="23">
        <v>88.0</v>
      </c>
      <c r="B89" s="24">
        <v>46254.0</v>
      </c>
      <c r="C89" s="23" t="s">
        <v>64</v>
      </c>
      <c r="D89" s="23" t="s">
        <v>140</v>
      </c>
      <c r="E89" s="23" t="s">
        <v>52</v>
      </c>
      <c r="F89" s="23" t="s">
        <v>65</v>
      </c>
      <c r="G89" s="23">
        <v>2.0</v>
      </c>
      <c r="H89" s="23" t="s">
        <v>78</v>
      </c>
      <c r="J89" s="23" t="s">
        <v>69</v>
      </c>
      <c r="L89" s="25">
        <f t="shared" si="1"/>
        <v>0</v>
      </c>
      <c r="M89" s="25">
        <f t="shared" si="2"/>
        <v>20</v>
      </c>
      <c r="N89" s="25" t="str">
        <f t="shared" si="3"/>
        <v>Dragapult ex Blaziken ex|20</v>
      </c>
      <c r="O89" s="25">
        <f t="shared" si="4"/>
        <v>14</v>
      </c>
      <c r="P89" s="26">
        <f t="shared" si="5"/>
        <v>0.7</v>
      </c>
      <c r="Q89" s="25" t="str">
        <f t="shared" si="6"/>
        <v>2°</v>
      </c>
      <c r="R89" s="25" t="str">
        <f t="shared" si="7"/>
        <v>ago-2026</v>
      </c>
    </row>
    <row r="90" ht="15.75" customHeight="1">
      <c r="A90" s="16">
        <v>89.0</v>
      </c>
      <c r="B90" s="17">
        <v>46256.0</v>
      </c>
      <c r="C90" s="16" t="s">
        <v>64</v>
      </c>
      <c r="D90" s="16" t="s">
        <v>140</v>
      </c>
      <c r="E90" s="16" t="s">
        <v>52</v>
      </c>
      <c r="F90" s="16" t="s">
        <v>71</v>
      </c>
      <c r="G90" s="16">
        <v>2.0</v>
      </c>
      <c r="H90" s="16" t="s">
        <v>78</v>
      </c>
      <c r="I90" s="16" t="s">
        <v>100</v>
      </c>
      <c r="J90" s="16" t="s">
        <v>69</v>
      </c>
      <c r="K90" s="27"/>
      <c r="L90" s="20">
        <f t="shared" si="1"/>
        <v>0</v>
      </c>
      <c r="M90" s="20">
        <f t="shared" si="2"/>
        <v>21</v>
      </c>
      <c r="N90" s="20" t="str">
        <f t="shared" si="3"/>
        <v>Dragapult ex Blaziken ex|21</v>
      </c>
      <c r="O90" s="20">
        <f t="shared" si="4"/>
        <v>14</v>
      </c>
      <c r="P90" s="22">
        <f t="shared" si="5"/>
        <v>0.6666666667</v>
      </c>
      <c r="Q90" s="20" t="str">
        <f t="shared" si="6"/>
        <v>2°</v>
      </c>
      <c r="R90" s="20" t="str">
        <f t="shared" si="7"/>
        <v>ago-2026</v>
      </c>
    </row>
    <row r="91" ht="15.75" customHeight="1">
      <c r="A91" s="23">
        <v>90.0</v>
      </c>
      <c r="B91" s="24">
        <v>46256.0</v>
      </c>
      <c r="C91" s="23" t="s">
        <v>64</v>
      </c>
      <c r="D91" s="23" t="s">
        <v>140</v>
      </c>
      <c r="E91" s="23" t="s">
        <v>52</v>
      </c>
      <c r="F91" s="23" t="s">
        <v>158</v>
      </c>
      <c r="G91" s="23">
        <v>2.0</v>
      </c>
      <c r="H91" s="23" t="s">
        <v>78</v>
      </c>
      <c r="J91" s="23" t="s">
        <v>69</v>
      </c>
      <c r="K91" s="23" t="s">
        <v>159</v>
      </c>
      <c r="L91" s="25">
        <f t="shared" si="1"/>
        <v>0</v>
      </c>
      <c r="M91" s="25">
        <f t="shared" si="2"/>
        <v>22</v>
      </c>
      <c r="N91" s="25" t="str">
        <f t="shared" si="3"/>
        <v>Dragapult ex Blaziken ex|22</v>
      </c>
      <c r="O91" s="25">
        <f t="shared" si="4"/>
        <v>14</v>
      </c>
      <c r="P91" s="26">
        <f t="shared" si="5"/>
        <v>0.6363636364</v>
      </c>
      <c r="Q91" s="25" t="str">
        <f t="shared" si="6"/>
        <v>2°</v>
      </c>
      <c r="R91" s="25" t="str">
        <f t="shared" si="7"/>
        <v>ago-2026</v>
      </c>
    </row>
    <row r="92" ht="15.75" customHeight="1">
      <c r="A92" s="16">
        <v>91.0</v>
      </c>
      <c r="B92" s="17">
        <v>46256.0</v>
      </c>
      <c r="C92" s="16" t="s">
        <v>64</v>
      </c>
      <c r="D92" s="16" t="s">
        <v>140</v>
      </c>
      <c r="E92" s="16" t="s">
        <v>52</v>
      </c>
      <c r="F92" s="16" t="s">
        <v>83</v>
      </c>
      <c r="G92" s="16">
        <v>2.0</v>
      </c>
      <c r="H92" s="16" t="s">
        <v>67</v>
      </c>
      <c r="I92" s="27"/>
      <c r="J92" s="16" t="s">
        <v>69</v>
      </c>
      <c r="K92" s="27"/>
      <c r="L92" s="20">
        <f t="shared" si="1"/>
        <v>1</v>
      </c>
      <c r="M92" s="20">
        <f t="shared" si="2"/>
        <v>23</v>
      </c>
      <c r="N92" s="20" t="str">
        <f t="shared" si="3"/>
        <v>Dragapult ex Blaziken ex|23</v>
      </c>
      <c r="O92" s="20">
        <f t="shared" si="4"/>
        <v>15</v>
      </c>
      <c r="P92" s="22">
        <f t="shared" si="5"/>
        <v>0.652173913</v>
      </c>
      <c r="Q92" s="20" t="str">
        <f t="shared" si="6"/>
        <v>2°</v>
      </c>
      <c r="R92" s="20" t="str">
        <f t="shared" si="7"/>
        <v>ago-2026</v>
      </c>
    </row>
    <row r="93" ht="15.75" customHeight="1">
      <c r="A93" s="23">
        <v>92.0</v>
      </c>
      <c r="B93" s="24">
        <v>46254.0</v>
      </c>
      <c r="C93" s="23" t="s">
        <v>64</v>
      </c>
      <c r="D93" s="23" t="s">
        <v>140</v>
      </c>
      <c r="E93" s="23" t="s">
        <v>52</v>
      </c>
      <c r="F93" s="23" t="s">
        <v>140</v>
      </c>
      <c r="G93" s="23">
        <v>2.0</v>
      </c>
      <c r="H93" s="23" t="s">
        <v>67</v>
      </c>
      <c r="J93" s="23" t="s">
        <v>69</v>
      </c>
      <c r="L93" s="25">
        <f t="shared" si="1"/>
        <v>1</v>
      </c>
      <c r="M93" s="25">
        <f t="shared" si="2"/>
        <v>24</v>
      </c>
      <c r="N93" s="25" t="str">
        <f t="shared" si="3"/>
        <v>Dragapult ex Blaziken ex|24</v>
      </c>
      <c r="O93" s="25">
        <f t="shared" si="4"/>
        <v>16</v>
      </c>
      <c r="P93" s="26">
        <f t="shared" si="5"/>
        <v>0.6666666667</v>
      </c>
      <c r="Q93" s="25" t="str">
        <f t="shared" si="6"/>
        <v>2°</v>
      </c>
      <c r="R93" s="25" t="str">
        <f t="shared" si="7"/>
        <v>ago-2026</v>
      </c>
    </row>
    <row r="94" ht="15.75" customHeight="1">
      <c r="A94" s="16">
        <v>93.0</v>
      </c>
      <c r="B94" s="17">
        <v>46256.0</v>
      </c>
      <c r="C94" s="16" t="s">
        <v>64</v>
      </c>
      <c r="D94" s="16" t="s">
        <v>140</v>
      </c>
      <c r="E94" s="16" t="s">
        <v>52</v>
      </c>
      <c r="F94" s="16" t="s">
        <v>155</v>
      </c>
      <c r="G94" s="16">
        <v>2.0</v>
      </c>
      <c r="H94" s="16" t="s">
        <v>78</v>
      </c>
      <c r="I94" s="27"/>
      <c r="J94" s="16" t="s">
        <v>69</v>
      </c>
      <c r="K94" s="27"/>
      <c r="L94" s="20">
        <f t="shared" si="1"/>
        <v>0</v>
      </c>
      <c r="M94" s="20">
        <f t="shared" si="2"/>
        <v>25</v>
      </c>
      <c r="N94" s="20" t="str">
        <f t="shared" si="3"/>
        <v>Dragapult ex Blaziken ex|25</v>
      </c>
      <c r="O94" s="20">
        <f t="shared" si="4"/>
        <v>16</v>
      </c>
      <c r="P94" s="22">
        <f t="shared" si="5"/>
        <v>0.64</v>
      </c>
      <c r="Q94" s="20" t="str">
        <f t="shared" si="6"/>
        <v>2°</v>
      </c>
      <c r="R94" s="20" t="str">
        <f t="shared" si="7"/>
        <v>ago-2026</v>
      </c>
    </row>
    <row r="95" ht="15.75" customHeight="1">
      <c r="A95" s="23">
        <v>94.0</v>
      </c>
      <c r="B95" s="24">
        <v>46256.0</v>
      </c>
      <c r="C95" s="23" t="s">
        <v>64</v>
      </c>
      <c r="D95" s="23" t="s">
        <v>140</v>
      </c>
      <c r="E95" s="23" t="s">
        <v>52</v>
      </c>
      <c r="F95" s="23" t="s">
        <v>83</v>
      </c>
      <c r="G95" s="23">
        <v>2.0</v>
      </c>
      <c r="H95" s="23" t="s">
        <v>67</v>
      </c>
      <c r="J95" s="23" t="s">
        <v>69</v>
      </c>
      <c r="L95" s="25">
        <f t="shared" si="1"/>
        <v>1</v>
      </c>
      <c r="M95" s="25">
        <f t="shared" si="2"/>
        <v>26</v>
      </c>
      <c r="N95" s="25" t="str">
        <f t="shared" si="3"/>
        <v>Dragapult ex Blaziken ex|26</v>
      </c>
      <c r="O95" s="25">
        <f t="shared" si="4"/>
        <v>17</v>
      </c>
      <c r="P95" s="26">
        <f t="shared" si="5"/>
        <v>0.6538461538</v>
      </c>
      <c r="Q95" s="25" t="str">
        <f t="shared" si="6"/>
        <v>2°</v>
      </c>
      <c r="R95" s="25" t="str">
        <f t="shared" si="7"/>
        <v>ago-2026</v>
      </c>
    </row>
    <row r="96" ht="15.75" customHeight="1">
      <c r="A96" s="16">
        <v>95.0</v>
      </c>
      <c r="B96" s="43">
        <v>46256.0</v>
      </c>
      <c r="C96" s="16" t="s">
        <v>64</v>
      </c>
      <c r="D96" s="16" t="s">
        <v>140</v>
      </c>
      <c r="E96" s="16" t="s">
        <v>52</v>
      </c>
      <c r="F96" s="44" t="s">
        <v>160</v>
      </c>
      <c r="G96" s="45">
        <v>2.0</v>
      </c>
      <c r="H96" s="16" t="s">
        <v>67</v>
      </c>
      <c r="I96" s="16"/>
      <c r="J96" s="16" t="s">
        <v>69</v>
      </c>
      <c r="K96" s="16" t="s">
        <v>161</v>
      </c>
      <c r="L96" s="20">
        <f t="shared" si="1"/>
        <v>1</v>
      </c>
      <c r="M96" s="20">
        <f t="shared" si="2"/>
        <v>27</v>
      </c>
      <c r="N96" s="20" t="str">
        <f t="shared" si="3"/>
        <v>Dragapult ex Blaziken ex|27</v>
      </c>
      <c r="O96" s="20">
        <f t="shared" si="4"/>
        <v>18</v>
      </c>
      <c r="P96" s="46">
        <f t="shared" si="5"/>
        <v>0.6666666667</v>
      </c>
      <c r="Q96" s="20" t="str">
        <f t="shared" si="6"/>
        <v>2°</v>
      </c>
      <c r="R96" s="20" t="str">
        <f t="shared" si="7"/>
        <v>ago-2026</v>
      </c>
      <c r="S96" s="23"/>
      <c r="T96" s="23"/>
      <c r="U96" s="23"/>
      <c r="V96" s="23"/>
      <c r="W96" s="23"/>
      <c r="X96" s="23"/>
      <c r="Y96" s="23"/>
    </row>
    <row r="97" ht="15.75" customHeight="1">
      <c r="A97" s="23">
        <v>96.0</v>
      </c>
      <c r="B97" s="42">
        <v>46260.0</v>
      </c>
      <c r="C97" s="23" t="s">
        <v>64</v>
      </c>
      <c r="D97" s="23" t="s">
        <v>140</v>
      </c>
      <c r="E97" s="48" t="s">
        <v>55</v>
      </c>
      <c r="F97" s="23" t="s">
        <v>120</v>
      </c>
      <c r="G97" s="23">
        <v>1.0</v>
      </c>
      <c r="H97" s="23" t="s">
        <v>67</v>
      </c>
      <c r="J97" s="23" t="s">
        <v>69</v>
      </c>
      <c r="K97" s="23" t="s">
        <v>162</v>
      </c>
      <c r="L97" s="25">
        <f t="shared" si="1"/>
        <v>1</v>
      </c>
      <c r="M97" s="25">
        <f t="shared" si="2"/>
        <v>28</v>
      </c>
      <c r="N97" s="25" t="str">
        <f t="shared" si="3"/>
        <v>Dragapult ex Blaziken ex|28</v>
      </c>
      <c r="O97" s="25">
        <f t="shared" si="4"/>
        <v>19</v>
      </c>
      <c r="P97" s="26">
        <f t="shared" si="5"/>
        <v>0.6785714286</v>
      </c>
      <c r="Q97" s="25" t="str">
        <f t="shared" si="6"/>
        <v>1°</v>
      </c>
      <c r="R97" s="25" t="str">
        <f t="shared" si="7"/>
        <v>ago-2026</v>
      </c>
    </row>
    <row r="98" ht="15.75" customHeight="1">
      <c r="A98" s="16">
        <v>97.0</v>
      </c>
      <c r="B98" s="42">
        <v>46260.0</v>
      </c>
      <c r="C98" s="16" t="s">
        <v>64</v>
      </c>
      <c r="D98" s="16" t="s">
        <v>140</v>
      </c>
      <c r="E98" s="48" t="s">
        <v>55</v>
      </c>
      <c r="F98" s="16" t="s">
        <v>92</v>
      </c>
      <c r="G98" s="16">
        <v>2.0</v>
      </c>
      <c r="H98" s="16" t="s">
        <v>67</v>
      </c>
      <c r="I98" s="27"/>
      <c r="J98" s="16" t="s">
        <v>69</v>
      </c>
      <c r="K98" s="27"/>
      <c r="L98" s="20">
        <f t="shared" si="1"/>
        <v>1</v>
      </c>
      <c r="M98" s="20">
        <f t="shared" si="2"/>
        <v>29</v>
      </c>
      <c r="N98" s="20" t="str">
        <f t="shared" si="3"/>
        <v>Dragapult ex Blaziken ex|29</v>
      </c>
      <c r="O98" s="20">
        <f t="shared" si="4"/>
        <v>20</v>
      </c>
      <c r="P98" s="22">
        <f t="shared" si="5"/>
        <v>0.6896551724</v>
      </c>
      <c r="Q98" s="20" t="str">
        <f t="shared" si="6"/>
        <v>2°</v>
      </c>
      <c r="R98" s="20" t="str">
        <f t="shared" si="7"/>
        <v>ago-2026</v>
      </c>
    </row>
    <row r="99" ht="15.75" customHeight="1">
      <c r="A99" s="16">
        <v>98.0</v>
      </c>
      <c r="B99" s="42">
        <v>46260.0</v>
      </c>
      <c r="C99" s="23" t="s">
        <v>64</v>
      </c>
      <c r="D99" s="23" t="s">
        <v>140</v>
      </c>
      <c r="E99" s="48" t="s">
        <v>55</v>
      </c>
      <c r="F99" s="23" t="s">
        <v>83</v>
      </c>
      <c r="G99" s="23">
        <v>2.0</v>
      </c>
      <c r="H99" s="23" t="s">
        <v>67</v>
      </c>
      <c r="J99" s="23" t="s">
        <v>69</v>
      </c>
      <c r="L99" s="25">
        <f t="shared" si="1"/>
        <v>1</v>
      </c>
      <c r="M99" s="25">
        <f t="shared" si="2"/>
        <v>30</v>
      </c>
      <c r="N99" s="25" t="str">
        <f t="shared" si="3"/>
        <v>Dragapult ex Blaziken ex|30</v>
      </c>
      <c r="O99" s="25">
        <f t="shared" si="4"/>
        <v>21</v>
      </c>
      <c r="P99" s="26">
        <f t="shared" si="5"/>
        <v>0.7</v>
      </c>
      <c r="Q99" s="25" t="str">
        <f t="shared" si="6"/>
        <v>2°</v>
      </c>
      <c r="R99" s="25" t="str">
        <f t="shared" si="7"/>
        <v>ago-2026</v>
      </c>
    </row>
    <row r="100" ht="15.75" customHeight="1">
      <c r="A100" s="23">
        <v>99.0</v>
      </c>
      <c r="B100" s="42">
        <v>46260.0</v>
      </c>
      <c r="C100" s="16" t="s">
        <v>64</v>
      </c>
      <c r="D100" s="16" t="s">
        <v>140</v>
      </c>
      <c r="E100" s="48" t="s">
        <v>55</v>
      </c>
      <c r="F100" s="16" t="s">
        <v>91</v>
      </c>
      <c r="G100" s="16">
        <v>2.0</v>
      </c>
      <c r="H100" s="16" t="s">
        <v>67</v>
      </c>
      <c r="I100" s="27"/>
      <c r="J100" s="16" t="s">
        <v>69</v>
      </c>
      <c r="K100" s="27"/>
      <c r="L100" s="20">
        <f t="shared" si="1"/>
        <v>1</v>
      </c>
      <c r="M100" s="20">
        <f t="shared" si="2"/>
        <v>31</v>
      </c>
      <c r="N100" s="20" t="str">
        <f t="shared" si="3"/>
        <v>Dragapult ex Blaziken ex|31</v>
      </c>
      <c r="O100" s="20">
        <f t="shared" si="4"/>
        <v>22</v>
      </c>
      <c r="P100" s="22">
        <f t="shared" si="5"/>
        <v>0.7096774194</v>
      </c>
      <c r="Q100" s="20" t="str">
        <f t="shared" si="6"/>
        <v>2°</v>
      </c>
      <c r="R100" s="20" t="str">
        <f t="shared" si="7"/>
        <v>ago-2026</v>
      </c>
    </row>
    <row r="101" ht="15.75" customHeight="1">
      <c r="A101" s="16">
        <v>100.0</v>
      </c>
      <c r="B101" s="42">
        <v>46260.0</v>
      </c>
      <c r="C101" s="23" t="s">
        <v>64</v>
      </c>
      <c r="D101" s="23" t="s">
        <v>140</v>
      </c>
      <c r="E101" s="48" t="s">
        <v>55</v>
      </c>
      <c r="F101" s="23" t="s">
        <v>80</v>
      </c>
      <c r="G101" s="23">
        <v>2.0</v>
      </c>
      <c r="H101" s="23" t="s">
        <v>78</v>
      </c>
      <c r="J101" s="23" t="s">
        <v>69</v>
      </c>
      <c r="K101" s="23" t="s">
        <v>163</v>
      </c>
      <c r="L101" s="25">
        <f t="shared" si="1"/>
        <v>0</v>
      </c>
      <c r="M101" s="25">
        <f t="shared" si="2"/>
        <v>32</v>
      </c>
      <c r="N101" s="25" t="str">
        <f t="shared" si="3"/>
        <v>Dragapult ex Blaziken ex|32</v>
      </c>
      <c r="O101" s="25">
        <f t="shared" si="4"/>
        <v>22</v>
      </c>
      <c r="P101" s="26">
        <f t="shared" si="5"/>
        <v>0.6875</v>
      </c>
      <c r="Q101" s="25" t="str">
        <f t="shared" si="6"/>
        <v>2°</v>
      </c>
      <c r="R101" s="25" t="str">
        <f t="shared" si="7"/>
        <v>ago-2026</v>
      </c>
    </row>
    <row r="102" ht="15.75" customHeight="1">
      <c r="A102" s="16">
        <v>101.0</v>
      </c>
      <c r="B102" s="42">
        <v>46260.0</v>
      </c>
      <c r="C102" s="16" t="s">
        <v>64</v>
      </c>
      <c r="D102" s="16" t="s">
        <v>140</v>
      </c>
      <c r="E102" s="48" t="s">
        <v>55</v>
      </c>
      <c r="F102" s="16" t="s">
        <v>124</v>
      </c>
      <c r="G102" s="16">
        <v>2.0</v>
      </c>
      <c r="H102" s="16" t="s">
        <v>78</v>
      </c>
      <c r="I102" s="27"/>
      <c r="J102" s="16" t="s">
        <v>69</v>
      </c>
      <c r="K102" s="27"/>
      <c r="L102" s="20">
        <f t="shared" si="1"/>
        <v>0</v>
      </c>
      <c r="M102" s="20">
        <f t="shared" si="2"/>
        <v>33</v>
      </c>
      <c r="N102" s="20" t="str">
        <f t="shared" si="3"/>
        <v>Dragapult ex Blaziken ex|33</v>
      </c>
      <c r="O102" s="20">
        <f t="shared" si="4"/>
        <v>22</v>
      </c>
      <c r="P102" s="22">
        <f t="shared" si="5"/>
        <v>0.6666666667</v>
      </c>
      <c r="Q102" s="20" t="str">
        <f t="shared" si="6"/>
        <v>2°</v>
      </c>
      <c r="R102" s="20" t="str">
        <f t="shared" si="7"/>
        <v>ago-2026</v>
      </c>
    </row>
    <row r="103" ht="15.75" customHeight="1">
      <c r="A103" s="23">
        <v>102.0</v>
      </c>
      <c r="B103" s="42">
        <v>46260.0</v>
      </c>
      <c r="C103" s="23" t="s">
        <v>64</v>
      </c>
      <c r="D103" s="23" t="s">
        <v>140</v>
      </c>
      <c r="E103" s="48" t="s">
        <v>55</v>
      </c>
      <c r="F103" s="23" t="s">
        <v>91</v>
      </c>
      <c r="G103" s="23">
        <v>2.0</v>
      </c>
      <c r="H103" s="23" t="s">
        <v>67</v>
      </c>
      <c r="J103" s="23" t="s">
        <v>69</v>
      </c>
      <c r="L103" s="25">
        <f t="shared" si="1"/>
        <v>1</v>
      </c>
      <c r="M103" s="25">
        <f t="shared" si="2"/>
        <v>34</v>
      </c>
      <c r="N103" s="25" t="str">
        <f t="shared" si="3"/>
        <v>Dragapult ex Blaziken ex|34</v>
      </c>
      <c r="O103" s="25">
        <f t="shared" si="4"/>
        <v>23</v>
      </c>
      <c r="P103" s="26">
        <f t="shared" si="5"/>
        <v>0.6764705882</v>
      </c>
      <c r="Q103" s="25" t="str">
        <f t="shared" si="6"/>
        <v>2°</v>
      </c>
      <c r="R103" s="25" t="str">
        <f t="shared" si="7"/>
        <v>ago-2026</v>
      </c>
    </row>
    <row r="104" ht="15.75" customHeight="1">
      <c r="A104" s="16">
        <v>103.0</v>
      </c>
      <c r="B104" s="42">
        <v>46260.0</v>
      </c>
      <c r="C104" s="16" t="s">
        <v>64</v>
      </c>
      <c r="D104" s="16" t="s">
        <v>140</v>
      </c>
      <c r="E104" s="48" t="s">
        <v>55</v>
      </c>
      <c r="F104" s="16" t="s">
        <v>164</v>
      </c>
      <c r="G104" s="16">
        <v>2.0</v>
      </c>
      <c r="H104" s="16" t="s">
        <v>67</v>
      </c>
      <c r="I104" s="27"/>
      <c r="J104" s="16" t="s">
        <v>69</v>
      </c>
      <c r="K104" s="27"/>
      <c r="L104" s="20">
        <f t="shared" si="1"/>
        <v>1</v>
      </c>
      <c r="M104" s="20">
        <f t="shared" si="2"/>
        <v>35</v>
      </c>
      <c r="N104" s="20" t="str">
        <f t="shared" si="3"/>
        <v>Dragapult ex Blaziken ex|35</v>
      </c>
      <c r="O104" s="20">
        <f t="shared" si="4"/>
        <v>24</v>
      </c>
      <c r="P104" s="22">
        <f t="shared" si="5"/>
        <v>0.6857142857</v>
      </c>
      <c r="Q104" s="20" t="str">
        <f t="shared" si="6"/>
        <v>2°</v>
      </c>
      <c r="R104" s="20" t="str">
        <f t="shared" si="7"/>
        <v>ago-2026</v>
      </c>
    </row>
    <row r="105" ht="15.75" customHeight="1">
      <c r="A105" s="23">
        <v>104.0</v>
      </c>
      <c r="B105" s="42">
        <v>46261.0</v>
      </c>
      <c r="C105" s="23" t="s">
        <v>64</v>
      </c>
      <c r="D105" s="23" t="s">
        <v>140</v>
      </c>
      <c r="E105" s="48" t="s">
        <v>55</v>
      </c>
      <c r="F105" s="23" t="s">
        <v>120</v>
      </c>
      <c r="G105" s="23">
        <v>2.0</v>
      </c>
      <c r="H105" s="23" t="s">
        <v>67</v>
      </c>
      <c r="J105" s="23" t="s">
        <v>69</v>
      </c>
      <c r="L105" s="25">
        <f t="shared" si="1"/>
        <v>1</v>
      </c>
      <c r="M105" s="25">
        <f t="shared" si="2"/>
        <v>36</v>
      </c>
      <c r="N105" s="25" t="str">
        <f t="shared" si="3"/>
        <v>Dragapult ex Blaziken ex|36</v>
      </c>
      <c r="O105" s="25">
        <f t="shared" si="4"/>
        <v>25</v>
      </c>
      <c r="P105" s="26">
        <f t="shared" si="5"/>
        <v>0.6944444444</v>
      </c>
      <c r="Q105" s="25" t="str">
        <f t="shared" si="6"/>
        <v>2°</v>
      </c>
      <c r="R105" s="25" t="str">
        <f t="shared" si="7"/>
        <v>ago-2026</v>
      </c>
    </row>
    <row r="106" ht="15.75" customHeight="1">
      <c r="A106" s="16">
        <v>105.0</v>
      </c>
      <c r="B106" s="42">
        <v>46261.0</v>
      </c>
      <c r="C106" s="16" t="s">
        <v>64</v>
      </c>
      <c r="D106" s="16" t="s">
        <v>140</v>
      </c>
      <c r="E106" s="48" t="s">
        <v>55</v>
      </c>
      <c r="F106" s="16" t="s">
        <v>160</v>
      </c>
      <c r="G106" s="16">
        <v>2.0</v>
      </c>
      <c r="H106" s="16" t="s">
        <v>78</v>
      </c>
      <c r="I106" s="27" t="s">
        <v>100</v>
      </c>
      <c r="J106" s="16" t="s">
        <v>69</v>
      </c>
      <c r="K106" s="27"/>
      <c r="L106" s="20">
        <f t="shared" si="1"/>
        <v>0</v>
      </c>
      <c r="M106" s="20">
        <f t="shared" si="2"/>
        <v>37</v>
      </c>
      <c r="N106" s="20" t="str">
        <f t="shared" si="3"/>
        <v>Dragapult ex Blaziken ex|37</v>
      </c>
      <c r="O106" s="20">
        <f t="shared" si="4"/>
        <v>25</v>
      </c>
      <c r="P106" s="22">
        <f t="shared" si="5"/>
        <v>0.6756756757</v>
      </c>
      <c r="Q106" s="20" t="str">
        <f t="shared" si="6"/>
        <v>2°</v>
      </c>
      <c r="R106" s="20" t="str">
        <f t="shared" si="7"/>
        <v>ago-2026</v>
      </c>
    </row>
    <row r="107" ht="15.75" customHeight="1">
      <c r="A107" s="23">
        <v>106.0</v>
      </c>
      <c r="B107" s="42">
        <v>46261.0</v>
      </c>
      <c r="C107" s="23" t="s">
        <v>64</v>
      </c>
      <c r="D107" s="23" t="s">
        <v>140</v>
      </c>
      <c r="E107" s="48" t="s">
        <v>55</v>
      </c>
      <c r="F107" s="23" t="s">
        <v>83</v>
      </c>
      <c r="G107" s="23">
        <v>2.0</v>
      </c>
      <c r="H107" s="23" t="s">
        <v>78</v>
      </c>
      <c r="I107" s="47" t="s">
        <v>100</v>
      </c>
      <c r="J107" s="23" t="s">
        <v>69</v>
      </c>
      <c r="L107" s="25">
        <f t="shared" si="1"/>
        <v>0</v>
      </c>
      <c r="M107" s="25">
        <f t="shared" si="2"/>
        <v>38</v>
      </c>
      <c r="N107" s="25" t="str">
        <f t="shared" si="3"/>
        <v>Dragapult ex Blaziken ex|38</v>
      </c>
      <c r="O107" s="25">
        <f t="shared" si="4"/>
        <v>25</v>
      </c>
      <c r="P107" s="26">
        <f t="shared" si="5"/>
        <v>0.6578947368</v>
      </c>
      <c r="Q107" s="25" t="str">
        <f t="shared" si="6"/>
        <v>2°</v>
      </c>
      <c r="R107" s="25" t="str">
        <f t="shared" si="7"/>
        <v>ago-2026</v>
      </c>
    </row>
    <row r="108" ht="15.75" customHeight="1">
      <c r="A108" s="16">
        <v>107.0</v>
      </c>
      <c r="B108" s="42">
        <v>46261.0</v>
      </c>
      <c r="C108" s="16" t="s">
        <v>64</v>
      </c>
      <c r="D108" s="16" t="s">
        <v>140</v>
      </c>
      <c r="E108" s="48" t="s">
        <v>55</v>
      </c>
      <c r="F108" s="16" t="s">
        <v>165</v>
      </c>
      <c r="G108" s="16">
        <v>2.0</v>
      </c>
      <c r="H108" s="16" t="s">
        <v>78</v>
      </c>
      <c r="I108" s="27" t="s">
        <v>100</v>
      </c>
      <c r="J108" s="16" t="s">
        <v>69</v>
      </c>
      <c r="K108" s="27" t="s">
        <v>166</v>
      </c>
      <c r="L108" s="20">
        <f t="shared" si="1"/>
        <v>0</v>
      </c>
      <c r="M108" s="20">
        <f t="shared" si="2"/>
        <v>39</v>
      </c>
      <c r="N108" s="20" t="str">
        <f t="shared" si="3"/>
        <v>Dragapult ex Blaziken ex|39</v>
      </c>
      <c r="O108" s="20">
        <f t="shared" si="4"/>
        <v>25</v>
      </c>
      <c r="P108" s="22">
        <f t="shared" si="5"/>
        <v>0.641025641</v>
      </c>
      <c r="Q108" s="20" t="str">
        <f t="shared" si="6"/>
        <v>2°</v>
      </c>
      <c r="R108" s="20" t="str">
        <f t="shared" si="7"/>
        <v>ago-2026</v>
      </c>
    </row>
    <row r="109" ht="15.75" customHeight="1">
      <c r="A109" s="23">
        <v>108.0</v>
      </c>
      <c r="B109" s="42">
        <v>46261.0</v>
      </c>
      <c r="C109" s="23" t="s">
        <v>64</v>
      </c>
      <c r="D109" s="23" t="s">
        <v>140</v>
      </c>
      <c r="E109" s="48" t="s">
        <v>55</v>
      </c>
      <c r="F109" s="23" t="s">
        <v>65</v>
      </c>
      <c r="G109" s="23">
        <v>2.0</v>
      </c>
      <c r="H109" s="23" t="s">
        <v>67</v>
      </c>
      <c r="J109" s="23" t="s">
        <v>69</v>
      </c>
      <c r="L109" s="25">
        <f t="shared" si="1"/>
        <v>1</v>
      </c>
      <c r="M109" s="25">
        <f t="shared" si="2"/>
        <v>40</v>
      </c>
      <c r="N109" s="25" t="str">
        <f t="shared" si="3"/>
        <v>Dragapult ex Blaziken ex|40</v>
      </c>
      <c r="O109" s="25">
        <f t="shared" si="4"/>
        <v>26</v>
      </c>
      <c r="P109" s="26">
        <f t="shared" si="5"/>
        <v>0.65</v>
      </c>
      <c r="Q109" s="25" t="str">
        <f t="shared" si="6"/>
        <v>2°</v>
      </c>
      <c r="R109" s="25" t="str">
        <f t="shared" si="7"/>
        <v>ago-2026</v>
      </c>
    </row>
    <row r="110" ht="15.75" customHeight="1">
      <c r="A110" s="16">
        <v>109.0</v>
      </c>
      <c r="B110" s="42">
        <v>46260.0</v>
      </c>
      <c r="C110" s="16" t="s">
        <v>64</v>
      </c>
      <c r="D110" s="16" t="s">
        <v>140</v>
      </c>
      <c r="E110" s="48" t="s">
        <v>59</v>
      </c>
      <c r="F110" s="16" t="s">
        <v>91</v>
      </c>
      <c r="G110" s="16">
        <v>2.0</v>
      </c>
      <c r="H110" s="16" t="s">
        <v>78</v>
      </c>
      <c r="I110" s="27"/>
      <c r="J110" s="16" t="s">
        <v>69</v>
      </c>
      <c r="K110" s="27"/>
      <c r="L110" s="20">
        <f t="shared" si="1"/>
        <v>0</v>
      </c>
      <c r="M110" s="20">
        <f t="shared" si="2"/>
        <v>41</v>
      </c>
      <c r="N110" s="20" t="str">
        <f t="shared" si="3"/>
        <v>Dragapult ex Blaziken ex|41</v>
      </c>
      <c r="O110" s="20">
        <f t="shared" si="4"/>
        <v>26</v>
      </c>
      <c r="P110" s="22">
        <f t="shared" si="5"/>
        <v>0.6341463415</v>
      </c>
      <c r="Q110" s="20" t="str">
        <f t="shared" si="6"/>
        <v>2°</v>
      </c>
      <c r="R110" s="20" t="str">
        <f t="shared" si="7"/>
        <v>ago-2026</v>
      </c>
    </row>
    <row r="111" ht="15.75" customHeight="1">
      <c r="A111" s="23">
        <v>110.0</v>
      </c>
      <c r="B111" s="42">
        <v>46254.0</v>
      </c>
      <c r="C111" s="23" t="s">
        <v>64</v>
      </c>
      <c r="D111" s="23" t="s">
        <v>140</v>
      </c>
      <c r="E111" s="48" t="s">
        <v>59</v>
      </c>
      <c r="F111" s="23" t="s">
        <v>140</v>
      </c>
      <c r="G111" s="23">
        <v>2.0</v>
      </c>
      <c r="H111" s="23" t="s">
        <v>67</v>
      </c>
      <c r="I111" s="47" t="s">
        <v>168</v>
      </c>
      <c r="J111" s="23" t="s">
        <v>69</v>
      </c>
      <c r="L111" s="25">
        <f t="shared" si="1"/>
        <v>1</v>
      </c>
      <c r="M111" s="25">
        <f t="shared" si="2"/>
        <v>42</v>
      </c>
      <c r="N111" s="25" t="str">
        <f t="shared" si="3"/>
        <v>Dragapult ex Blaziken ex|42</v>
      </c>
      <c r="O111" s="25">
        <f t="shared" si="4"/>
        <v>27</v>
      </c>
      <c r="P111" s="26">
        <f t="shared" si="5"/>
        <v>0.6428571429</v>
      </c>
      <c r="Q111" s="25" t="str">
        <f t="shared" si="6"/>
        <v>2°</v>
      </c>
      <c r="R111" s="25" t="str">
        <f t="shared" si="7"/>
        <v>ago-2026</v>
      </c>
    </row>
    <row r="112" ht="15.75" customHeight="1">
      <c r="A112" s="16">
        <v>111.0</v>
      </c>
      <c r="B112" s="42">
        <v>46261.0</v>
      </c>
      <c r="C112" s="16" t="s">
        <v>64</v>
      </c>
      <c r="D112" s="16" t="s">
        <v>140</v>
      </c>
      <c r="E112" s="48" t="s">
        <v>59</v>
      </c>
      <c r="F112" s="16" t="s">
        <v>83</v>
      </c>
      <c r="G112" s="16">
        <v>2.0</v>
      </c>
      <c r="H112" s="16" t="s">
        <v>67</v>
      </c>
      <c r="I112" s="27" t="s">
        <v>168</v>
      </c>
      <c r="J112" s="16" t="s">
        <v>69</v>
      </c>
      <c r="K112" s="27"/>
      <c r="L112" s="20">
        <f t="shared" si="1"/>
        <v>1</v>
      </c>
      <c r="M112" s="20">
        <f t="shared" si="2"/>
        <v>43</v>
      </c>
      <c r="N112" s="20" t="str">
        <f t="shared" si="3"/>
        <v>Dragapult ex Blaziken ex|43</v>
      </c>
      <c r="O112" s="20">
        <f t="shared" si="4"/>
        <v>28</v>
      </c>
      <c r="P112" s="22">
        <f t="shared" si="5"/>
        <v>0.6511627907</v>
      </c>
      <c r="Q112" s="20" t="str">
        <f t="shared" si="6"/>
        <v>2°</v>
      </c>
      <c r="R112" s="20" t="str">
        <f t="shared" si="7"/>
        <v>ago-2026</v>
      </c>
    </row>
    <row r="113" ht="15.75" customHeight="1">
      <c r="A113" s="23">
        <v>112.0</v>
      </c>
      <c r="B113" s="42">
        <v>46254.0</v>
      </c>
      <c r="C113" s="23" t="s">
        <v>64</v>
      </c>
      <c r="D113" s="23" t="s">
        <v>140</v>
      </c>
      <c r="E113" s="48" t="s">
        <v>59</v>
      </c>
      <c r="F113" s="23" t="s">
        <v>140</v>
      </c>
      <c r="G113" s="23">
        <v>2.0</v>
      </c>
      <c r="H113" s="23" t="s">
        <v>78</v>
      </c>
      <c r="J113" s="23" t="s">
        <v>69</v>
      </c>
      <c r="L113" s="25">
        <f t="shared" si="1"/>
        <v>0</v>
      </c>
      <c r="M113" s="25">
        <f t="shared" si="2"/>
        <v>44</v>
      </c>
      <c r="N113" s="25" t="str">
        <f t="shared" si="3"/>
        <v>Dragapult ex Blaziken ex|44</v>
      </c>
      <c r="O113" s="25">
        <f t="shared" si="4"/>
        <v>28</v>
      </c>
      <c r="P113" s="26">
        <f t="shared" si="5"/>
        <v>0.6363636364</v>
      </c>
      <c r="Q113" s="25" t="str">
        <f t="shared" si="6"/>
        <v>2°</v>
      </c>
      <c r="R113" s="25" t="str">
        <f t="shared" si="7"/>
        <v>ago-2026</v>
      </c>
    </row>
    <row r="114" ht="15.75" customHeight="1">
      <c r="A114" s="16">
        <v>113.0</v>
      </c>
      <c r="B114" s="42">
        <v>46254.0</v>
      </c>
      <c r="C114" s="16" t="s">
        <v>64</v>
      </c>
      <c r="D114" s="16" t="s">
        <v>140</v>
      </c>
      <c r="E114" s="48" t="s">
        <v>59</v>
      </c>
      <c r="F114" s="16" t="s">
        <v>135</v>
      </c>
      <c r="G114" s="16">
        <v>2.0</v>
      </c>
      <c r="H114" s="16" t="s">
        <v>67</v>
      </c>
      <c r="I114" s="27"/>
      <c r="J114" s="16" t="s">
        <v>69</v>
      </c>
      <c r="K114" s="27"/>
      <c r="L114" s="20">
        <f t="shared" si="1"/>
        <v>1</v>
      </c>
      <c r="M114" s="20">
        <f t="shared" si="2"/>
        <v>45</v>
      </c>
      <c r="N114" s="20" t="str">
        <f t="shared" si="3"/>
        <v>Dragapult ex Blaziken ex|45</v>
      </c>
      <c r="O114" s="20">
        <f t="shared" si="4"/>
        <v>29</v>
      </c>
      <c r="P114" s="22">
        <f t="shared" si="5"/>
        <v>0.6444444444</v>
      </c>
      <c r="Q114" s="20" t="str">
        <f t="shared" si="6"/>
        <v>2°</v>
      </c>
      <c r="R114" s="20" t="str">
        <f t="shared" si="7"/>
        <v>ago-2026</v>
      </c>
    </row>
    <row r="115" ht="15.75" customHeight="1">
      <c r="A115" s="23">
        <v>114.0</v>
      </c>
      <c r="B115" s="42">
        <v>46254.0</v>
      </c>
      <c r="C115" s="23" t="s">
        <v>64</v>
      </c>
      <c r="D115" s="23" t="s">
        <v>140</v>
      </c>
      <c r="E115" s="48" t="s">
        <v>59</v>
      </c>
      <c r="F115" s="23" t="s">
        <v>169</v>
      </c>
      <c r="G115" s="23">
        <v>1.0</v>
      </c>
      <c r="H115" s="23" t="s">
        <v>67</v>
      </c>
      <c r="J115" s="23" t="s">
        <v>69</v>
      </c>
      <c r="L115" s="25">
        <f t="shared" si="1"/>
        <v>1</v>
      </c>
      <c r="M115" s="25">
        <f t="shared" si="2"/>
        <v>46</v>
      </c>
      <c r="N115" s="25" t="str">
        <f t="shared" si="3"/>
        <v>Dragapult ex Blaziken ex|46</v>
      </c>
      <c r="O115" s="25">
        <f t="shared" si="4"/>
        <v>30</v>
      </c>
      <c r="P115" s="26">
        <f t="shared" si="5"/>
        <v>0.652173913</v>
      </c>
      <c r="Q115" s="25" t="str">
        <f t="shared" si="6"/>
        <v>1°</v>
      </c>
      <c r="R115" s="25" t="str">
        <f t="shared" si="7"/>
        <v>ago-2026</v>
      </c>
    </row>
    <row r="116" ht="15.75" customHeight="1">
      <c r="A116" s="16">
        <v>115.0</v>
      </c>
      <c r="B116" s="42">
        <v>46256.0</v>
      </c>
      <c r="C116" s="16" t="s">
        <v>64</v>
      </c>
      <c r="D116" s="16" t="s">
        <v>140</v>
      </c>
      <c r="E116" s="48" t="s">
        <v>59</v>
      </c>
      <c r="F116" s="16" t="s">
        <v>71</v>
      </c>
      <c r="G116" s="16">
        <v>2.0</v>
      </c>
      <c r="H116" s="16" t="s">
        <v>78</v>
      </c>
      <c r="I116" s="27" t="s">
        <v>100</v>
      </c>
      <c r="J116" s="16"/>
      <c r="K116" s="27" t="s">
        <v>170</v>
      </c>
      <c r="L116" s="20">
        <f t="shared" si="1"/>
        <v>0</v>
      </c>
      <c r="M116" s="20">
        <f t="shared" si="2"/>
        <v>47</v>
      </c>
      <c r="N116" s="20" t="str">
        <f t="shared" si="3"/>
        <v>Dragapult ex Blaziken ex|47</v>
      </c>
      <c r="O116" s="20">
        <f t="shared" si="4"/>
        <v>30</v>
      </c>
      <c r="P116" s="22">
        <f t="shared" si="5"/>
        <v>0.6382978723</v>
      </c>
      <c r="Q116" s="20" t="str">
        <f t="shared" si="6"/>
        <v>2°</v>
      </c>
      <c r="R116" s="20" t="str">
        <f t="shared" si="7"/>
        <v>ago-2026</v>
      </c>
    </row>
    <row r="117" ht="15.75" customHeight="1">
      <c r="A117" s="23">
        <v>116.0</v>
      </c>
      <c r="B117" s="42">
        <v>46260.0</v>
      </c>
      <c r="C117" s="23" t="s">
        <v>64</v>
      </c>
      <c r="D117" s="23" t="s">
        <v>140</v>
      </c>
      <c r="E117" s="48" t="s">
        <v>59</v>
      </c>
      <c r="F117" s="23" t="s">
        <v>124</v>
      </c>
      <c r="G117" s="23">
        <v>2.0</v>
      </c>
      <c r="H117" s="23" t="s">
        <v>67</v>
      </c>
      <c r="J117" s="23" t="s">
        <v>69</v>
      </c>
      <c r="L117" s="25">
        <f t="shared" si="1"/>
        <v>1</v>
      </c>
      <c r="M117" s="25">
        <f t="shared" si="2"/>
        <v>48</v>
      </c>
      <c r="N117" s="25" t="str">
        <f t="shared" si="3"/>
        <v>Dragapult ex Blaziken ex|48</v>
      </c>
      <c r="O117" s="25">
        <f t="shared" si="4"/>
        <v>31</v>
      </c>
      <c r="P117" s="26">
        <f t="shared" si="5"/>
        <v>0.6458333333</v>
      </c>
      <c r="Q117" s="25" t="str">
        <f t="shared" si="6"/>
        <v>2°</v>
      </c>
      <c r="R117" s="25" t="str">
        <f t="shared" si="7"/>
        <v>ago-2026</v>
      </c>
    </row>
    <row r="118" ht="15.75" customHeight="1">
      <c r="A118" s="16">
        <v>117.0</v>
      </c>
      <c r="B118" s="42">
        <v>46260.0</v>
      </c>
      <c r="C118" s="16" t="s">
        <v>64</v>
      </c>
      <c r="D118" s="16" t="s">
        <v>140</v>
      </c>
      <c r="E118" s="48" t="s">
        <v>59</v>
      </c>
      <c r="F118" s="16" t="s">
        <v>135</v>
      </c>
      <c r="G118" s="16">
        <v>2.0</v>
      </c>
      <c r="H118" s="16" t="s">
        <v>67</v>
      </c>
      <c r="I118" s="27"/>
      <c r="J118" s="16" t="s">
        <v>69</v>
      </c>
      <c r="K118" s="27"/>
      <c r="L118" s="20">
        <f t="shared" si="1"/>
        <v>1</v>
      </c>
      <c r="M118" s="20">
        <f t="shared" si="2"/>
        <v>49</v>
      </c>
      <c r="N118" s="20" t="str">
        <f t="shared" si="3"/>
        <v>Dragapult ex Blaziken ex|49</v>
      </c>
      <c r="O118" s="20">
        <f t="shared" si="4"/>
        <v>32</v>
      </c>
      <c r="P118" s="22">
        <f t="shared" si="5"/>
        <v>0.6530612245</v>
      </c>
      <c r="Q118" s="20" t="str">
        <f t="shared" si="6"/>
        <v>2°</v>
      </c>
      <c r="R118" s="20" t="str">
        <f t="shared" si="7"/>
        <v>ago-2026</v>
      </c>
    </row>
    <row r="119" ht="15.75" customHeight="1">
      <c r="A119" s="23">
        <v>118.0</v>
      </c>
      <c r="B119" s="42">
        <v>46260.0</v>
      </c>
      <c r="C119" s="16" t="s">
        <v>64</v>
      </c>
      <c r="D119" s="16" t="s">
        <v>140</v>
      </c>
      <c r="E119" s="48" t="s">
        <v>59</v>
      </c>
      <c r="F119" s="50" t="s">
        <v>132</v>
      </c>
      <c r="G119" s="50">
        <v>2.0</v>
      </c>
      <c r="H119" s="50" t="s">
        <v>78</v>
      </c>
      <c r="I119" s="50" t="s">
        <v>171</v>
      </c>
      <c r="J119" s="16" t="s">
        <v>69</v>
      </c>
      <c r="L119" s="25">
        <f t="shared" si="1"/>
        <v>0</v>
      </c>
      <c r="M119" s="25">
        <f t="shared" si="2"/>
        <v>50</v>
      </c>
      <c r="N119" s="25" t="str">
        <f t="shared" si="3"/>
        <v>Dragapult ex Blaziken ex|50</v>
      </c>
      <c r="O119" s="25">
        <f t="shared" si="4"/>
        <v>32</v>
      </c>
      <c r="P119" s="26">
        <f t="shared" si="5"/>
        <v>0.64</v>
      </c>
      <c r="Q119" s="25" t="str">
        <f t="shared" si="6"/>
        <v>2°</v>
      </c>
      <c r="R119" s="25" t="str">
        <f t="shared" si="7"/>
        <v>ago-2026</v>
      </c>
    </row>
    <row r="120" ht="15.75" customHeight="1">
      <c r="A120" s="16">
        <v>117.0</v>
      </c>
      <c r="B120" s="42">
        <v>46260.0</v>
      </c>
      <c r="C120" s="16" t="s">
        <v>64</v>
      </c>
      <c r="D120" s="44" t="s">
        <v>71</v>
      </c>
      <c r="E120" s="48" t="s">
        <v>38</v>
      </c>
      <c r="F120" s="44" t="s">
        <v>83</v>
      </c>
      <c r="G120" s="44">
        <v>1.0</v>
      </c>
      <c r="H120" s="16" t="s">
        <v>67</v>
      </c>
      <c r="I120" s="27"/>
      <c r="J120" s="16" t="s">
        <v>69</v>
      </c>
      <c r="L120" s="25">
        <f t="shared" si="1"/>
        <v>1</v>
      </c>
      <c r="M120" s="25">
        <f t="shared" si="2"/>
        <v>24</v>
      </c>
      <c r="N120" s="25" t="str">
        <f t="shared" si="3"/>
        <v>Dragapult ex|24</v>
      </c>
      <c r="O120" s="25">
        <f t="shared" si="4"/>
        <v>16</v>
      </c>
      <c r="P120" s="26">
        <f t="shared" si="5"/>
        <v>0.6666666667</v>
      </c>
      <c r="Q120" s="25" t="str">
        <f t="shared" si="6"/>
        <v>1°</v>
      </c>
      <c r="R120" s="25" t="str">
        <f t="shared" si="7"/>
        <v>ago-2026</v>
      </c>
    </row>
    <row r="121" ht="15.75" customHeight="1">
      <c r="A121" s="23">
        <v>118.0</v>
      </c>
      <c r="B121" s="42">
        <v>46260.0</v>
      </c>
      <c r="C121" s="16" t="s">
        <v>64</v>
      </c>
      <c r="D121" s="44" t="s">
        <v>71</v>
      </c>
      <c r="E121" s="48" t="s">
        <v>38</v>
      </c>
      <c r="F121" s="50" t="s">
        <v>132</v>
      </c>
      <c r="G121" s="50">
        <v>1.0</v>
      </c>
      <c r="H121" s="50" t="s">
        <v>67</v>
      </c>
      <c r="J121" s="16" t="s">
        <v>69</v>
      </c>
      <c r="L121" s="25">
        <f t="shared" si="1"/>
        <v>1</v>
      </c>
      <c r="M121" s="25">
        <f t="shared" si="2"/>
        <v>25</v>
      </c>
      <c r="N121" s="25" t="str">
        <f t="shared" si="3"/>
        <v>Dragapult ex|25</v>
      </c>
      <c r="O121" s="25">
        <f t="shared" si="4"/>
        <v>17</v>
      </c>
      <c r="P121" s="26">
        <f t="shared" si="5"/>
        <v>0.68</v>
      </c>
      <c r="Q121" s="25" t="str">
        <f t="shared" si="6"/>
        <v>1°</v>
      </c>
      <c r="R121" s="25" t="str">
        <f t="shared" si="7"/>
        <v>ago-2026</v>
      </c>
    </row>
    <row r="122" ht="15.75" customHeight="1">
      <c r="C122" s="47"/>
      <c r="D122" s="47"/>
      <c r="E122" s="47"/>
      <c r="F122" s="47"/>
      <c r="G122" s="47"/>
      <c r="H122" s="47"/>
      <c r="J122" s="47"/>
      <c r="L122" s="25" t="str">
        <f t="shared" si="1"/>
        <v/>
      </c>
      <c r="M122" s="25" t="str">
        <f t="shared" si="2"/>
        <v/>
      </c>
      <c r="N122" s="25" t="str">
        <f t="shared" si="3"/>
        <v/>
      </c>
      <c r="O122" s="25" t="str">
        <f t="shared" si="4"/>
        <v/>
      </c>
      <c r="P122" s="26" t="str">
        <f t="shared" si="5"/>
        <v/>
      </c>
      <c r="Q122" s="25" t="str">
        <f t="shared" si="6"/>
        <v/>
      </c>
      <c r="R122" s="25" t="str">
        <f t="shared" si="7"/>
        <v/>
      </c>
    </row>
    <row r="123" ht="15.75" customHeight="1">
      <c r="C123" s="47"/>
      <c r="D123" s="47"/>
      <c r="E123" s="47"/>
      <c r="F123" s="47"/>
      <c r="G123" s="47"/>
      <c r="H123" s="47"/>
      <c r="J123" s="47"/>
      <c r="L123" s="25" t="str">
        <f t="shared" si="1"/>
        <v/>
      </c>
      <c r="M123" s="25" t="str">
        <f t="shared" si="2"/>
        <v/>
      </c>
      <c r="N123" s="25" t="str">
        <f t="shared" si="3"/>
        <v/>
      </c>
      <c r="O123" s="25" t="str">
        <f t="shared" si="4"/>
        <v/>
      </c>
      <c r="P123" s="26" t="str">
        <f t="shared" si="5"/>
        <v/>
      </c>
      <c r="Q123" s="25" t="str">
        <f t="shared" si="6"/>
        <v/>
      </c>
      <c r="R123" s="25" t="str">
        <f t="shared" si="7"/>
        <v/>
      </c>
    </row>
    <row r="124" ht="15.75" customHeight="1">
      <c r="C124" s="47"/>
      <c r="D124" s="47"/>
      <c r="E124" s="47"/>
      <c r="F124" s="47"/>
      <c r="G124" s="47"/>
      <c r="H124" s="47"/>
      <c r="J124" s="47"/>
      <c r="L124" s="25" t="str">
        <f t="shared" si="1"/>
        <v/>
      </c>
      <c r="M124" s="25" t="str">
        <f t="shared" si="2"/>
        <v/>
      </c>
      <c r="N124" s="25" t="str">
        <f t="shared" si="3"/>
        <v/>
      </c>
      <c r="O124" s="25" t="str">
        <f t="shared" si="4"/>
        <v/>
      </c>
      <c r="P124" s="26" t="str">
        <f t="shared" si="5"/>
        <v/>
      </c>
      <c r="Q124" s="25" t="str">
        <f t="shared" si="6"/>
        <v/>
      </c>
      <c r="R124" s="25" t="str">
        <f t="shared" si="7"/>
        <v/>
      </c>
    </row>
    <row r="125" ht="15.75" customHeight="1">
      <c r="C125" s="47"/>
      <c r="D125" s="47"/>
      <c r="E125" s="47"/>
      <c r="F125" s="47"/>
      <c r="G125" s="47"/>
      <c r="H125" s="47"/>
      <c r="J125" s="47"/>
      <c r="L125" s="25" t="str">
        <f t="shared" si="1"/>
        <v/>
      </c>
      <c r="M125" s="25" t="str">
        <f t="shared" si="2"/>
        <v/>
      </c>
      <c r="N125" s="25" t="str">
        <f t="shared" si="3"/>
        <v/>
      </c>
      <c r="O125" s="25" t="str">
        <f t="shared" si="4"/>
        <v/>
      </c>
      <c r="P125" s="26" t="str">
        <f t="shared" si="5"/>
        <v/>
      </c>
      <c r="Q125" s="25" t="str">
        <f t="shared" si="6"/>
        <v/>
      </c>
      <c r="R125" s="25" t="str">
        <f t="shared" si="7"/>
        <v/>
      </c>
    </row>
    <row r="126" ht="15.75" customHeight="1">
      <c r="C126" s="47"/>
      <c r="D126" s="47"/>
      <c r="E126" s="47"/>
      <c r="F126" s="47"/>
      <c r="G126" s="47"/>
      <c r="H126" s="47"/>
      <c r="J126" s="47"/>
      <c r="L126" s="25" t="str">
        <f t="shared" si="1"/>
        <v/>
      </c>
      <c r="M126" s="25" t="str">
        <f t="shared" si="2"/>
        <v/>
      </c>
      <c r="N126" s="25" t="str">
        <f t="shared" si="3"/>
        <v/>
      </c>
      <c r="O126" s="25" t="str">
        <f t="shared" si="4"/>
        <v/>
      </c>
      <c r="P126" s="26" t="str">
        <f t="shared" si="5"/>
        <v/>
      </c>
      <c r="Q126" s="25" t="str">
        <f t="shared" si="6"/>
        <v/>
      </c>
      <c r="R126" s="25" t="str">
        <f t="shared" si="7"/>
        <v/>
      </c>
    </row>
    <row r="127" ht="15.75" customHeight="1">
      <c r="C127" s="47"/>
      <c r="D127" s="47"/>
      <c r="E127" s="47"/>
      <c r="F127" s="47"/>
      <c r="G127" s="47"/>
      <c r="H127" s="47"/>
      <c r="J127" s="47"/>
      <c r="L127" s="25" t="str">
        <f t="shared" si="1"/>
        <v/>
      </c>
      <c r="M127" s="25" t="str">
        <f t="shared" si="2"/>
        <v/>
      </c>
      <c r="N127" s="25" t="str">
        <f t="shared" si="3"/>
        <v/>
      </c>
      <c r="O127" s="25" t="str">
        <f t="shared" si="4"/>
        <v/>
      </c>
      <c r="P127" s="26" t="str">
        <f t="shared" si="5"/>
        <v/>
      </c>
      <c r="Q127" s="25" t="str">
        <f t="shared" si="6"/>
        <v/>
      </c>
      <c r="R127" s="25" t="str">
        <f t="shared" si="7"/>
        <v/>
      </c>
    </row>
    <row r="128" ht="15.75" customHeight="1">
      <c r="C128" s="47"/>
      <c r="D128" s="47"/>
      <c r="E128" s="47"/>
      <c r="F128" s="47"/>
      <c r="G128" s="47"/>
      <c r="H128" s="47"/>
      <c r="J128" s="47"/>
      <c r="L128" s="25" t="str">
        <f t="shared" si="1"/>
        <v/>
      </c>
      <c r="M128" s="25" t="str">
        <f t="shared" si="2"/>
        <v/>
      </c>
      <c r="N128" s="25" t="str">
        <f t="shared" si="3"/>
        <v/>
      </c>
      <c r="O128" s="25" t="str">
        <f t="shared" si="4"/>
        <v/>
      </c>
      <c r="P128" s="26" t="str">
        <f t="shared" si="5"/>
        <v/>
      </c>
      <c r="Q128" s="25" t="str">
        <f t="shared" si="6"/>
        <v/>
      </c>
      <c r="R128" s="25" t="str">
        <f t="shared" si="7"/>
        <v/>
      </c>
    </row>
    <row r="129" ht="15.75" customHeight="1">
      <c r="C129" s="47"/>
      <c r="D129" s="47"/>
      <c r="E129" s="47"/>
      <c r="F129" s="47"/>
      <c r="G129" s="47"/>
      <c r="H129" s="47"/>
      <c r="J129" s="47"/>
      <c r="L129" s="25" t="str">
        <f t="shared" si="1"/>
        <v/>
      </c>
      <c r="M129" s="25" t="str">
        <f t="shared" si="2"/>
        <v/>
      </c>
      <c r="N129" s="25" t="str">
        <f t="shared" si="3"/>
        <v/>
      </c>
      <c r="O129" s="25" t="str">
        <f t="shared" si="4"/>
        <v/>
      </c>
      <c r="P129" s="26" t="str">
        <f t="shared" si="5"/>
        <v/>
      </c>
      <c r="Q129" s="25" t="str">
        <f t="shared" si="6"/>
        <v/>
      </c>
      <c r="R129" s="25" t="str">
        <f t="shared" si="7"/>
        <v/>
      </c>
    </row>
    <row r="130" ht="15.75" customHeight="1">
      <c r="C130" s="47"/>
      <c r="D130" s="47"/>
      <c r="E130" s="47"/>
      <c r="F130" s="47"/>
      <c r="G130" s="47"/>
      <c r="H130" s="47"/>
      <c r="J130" s="47"/>
      <c r="L130" s="25" t="str">
        <f t="shared" si="1"/>
        <v/>
      </c>
      <c r="M130" s="25" t="str">
        <f t="shared" si="2"/>
        <v/>
      </c>
      <c r="N130" s="25" t="str">
        <f t="shared" si="3"/>
        <v/>
      </c>
      <c r="O130" s="25" t="str">
        <f t="shared" si="4"/>
        <v/>
      </c>
      <c r="P130" s="26" t="str">
        <f t="shared" si="5"/>
        <v/>
      </c>
      <c r="Q130" s="25" t="str">
        <f t="shared" si="6"/>
        <v/>
      </c>
      <c r="R130" s="25" t="str">
        <f t="shared" si="7"/>
        <v/>
      </c>
    </row>
    <row r="131" ht="15.75" customHeight="1">
      <c r="C131" s="47"/>
      <c r="D131" s="47"/>
      <c r="E131" s="47"/>
      <c r="F131" s="47"/>
      <c r="G131" s="47"/>
      <c r="H131" s="47"/>
      <c r="J131" s="47"/>
      <c r="L131" s="25" t="str">
        <f t="shared" si="1"/>
        <v/>
      </c>
      <c r="M131" s="25" t="str">
        <f t="shared" si="2"/>
        <v/>
      </c>
      <c r="N131" s="25" t="str">
        <f t="shared" si="3"/>
        <v/>
      </c>
      <c r="O131" s="25" t="str">
        <f t="shared" si="4"/>
        <v/>
      </c>
      <c r="P131" s="26" t="str">
        <f t="shared" si="5"/>
        <v/>
      </c>
      <c r="Q131" s="25" t="str">
        <f t="shared" si="6"/>
        <v/>
      </c>
      <c r="R131" s="25" t="str">
        <f t="shared" si="7"/>
        <v/>
      </c>
    </row>
    <row r="132" ht="15.75" customHeight="1">
      <c r="C132" s="47"/>
      <c r="D132" s="47"/>
      <c r="E132" s="47"/>
      <c r="F132" s="47"/>
      <c r="G132" s="47"/>
      <c r="H132" s="47"/>
      <c r="J132" s="47"/>
      <c r="L132" s="25" t="str">
        <f t="shared" si="1"/>
        <v/>
      </c>
      <c r="M132" s="25" t="str">
        <f t="shared" si="2"/>
        <v/>
      </c>
      <c r="N132" s="25" t="str">
        <f t="shared" si="3"/>
        <v/>
      </c>
      <c r="O132" s="25" t="str">
        <f t="shared" si="4"/>
        <v/>
      </c>
      <c r="P132" s="26" t="str">
        <f t="shared" si="5"/>
        <v/>
      </c>
      <c r="Q132" s="25" t="str">
        <f t="shared" si="6"/>
        <v/>
      </c>
      <c r="R132" s="25" t="str">
        <f t="shared" si="7"/>
        <v/>
      </c>
    </row>
    <row r="133" ht="15.75" customHeight="1">
      <c r="C133" s="47"/>
      <c r="D133" s="47"/>
      <c r="E133" s="47"/>
      <c r="F133" s="47"/>
      <c r="G133" s="47"/>
      <c r="H133" s="47"/>
      <c r="J133" s="47"/>
      <c r="L133" s="25" t="str">
        <f t="shared" si="1"/>
        <v/>
      </c>
      <c r="M133" s="25" t="str">
        <f t="shared" si="2"/>
        <v/>
      </c>
      <c r="N133" s="25" t="str">
        <f t="shared" si="3"/>
        <v/>
      </c>
      <c r="O133" s="25" t="str">
        <f t="shared" si="4"/>
        <v/>
      </c>
      <c r="P133" s="26" t="str">
        <f t="shared" si="5"/>
        <v/>
      </c>
      <c r="Q133" s="25" t="str">
        <f t="shared" si="6"/>
        <v/>
      </c>
      <c r="R133" s="25" t="str">
        <f t="shared" si="7"/>
        <v/>
      </c>
    </row>
    <row r="134" ht="15.75" customHeight="1">
      <c r="C134" s="47"/>
      <c r="D134" s="47"/>
      <c r="E134" s="47"/>
      <c r="F134" s="47"/>
      <c r="G134" s="47"/>
      <c r="H134" s="47"/>
      <c r="J134" s="47"/>
      <c r="L134" s="25" t="str">
        <f t="shared" si="1"/>
        <v/>
      </c>
      <c r="M134" s="25" t="str">
        <f t="shared" si="2"/>
        <v/>
      </c>
      <c r="N134" s="25" t="str">
        <f t="shared" si="3"/>
        <v/>
      </c>
      <c r="O134" s="25" t="str">
        <f t="shared" si="4"/>
        <v/>
      </c>
      <c r="P134" s="26" t="str">
        <f t="shared" si="5"/>
        <v/>
      </c>
      <c r="Q134" s="25" t="str">
        <f t="shared" si="6"/>
        <v/>
      </c>
      <c r="R134" s="25" t="str">
        <f t="shared" si="7"/>
        <v/>
      </c>
    </row>
    <row r="135" ht="15.75" customHeight="1">
      <c r="C135" s="47"/>
      <c r="D135" s="47"/>
      <c r="E135" s="47"/>
      <c r="F135" s="47"/>
      <c r="G135" s="47"/>
      <c r="H135" s="47"/>
      <c r="J135" s="47"/>
      <c r="L135" s="25" t="str">
        <f t="shared" si="1"/>
        <v/>
      </c>
      <c r="M135" s="25" t="str">
        <f t="shared" si="2"/>
        <v/>
      </c>
      <c r="N135" s="25" t="str">
        <f t="shared" si="3"/>
        <v/>
      </c>
      <c r="O135" s="25" t="str">
        <f t="shared" si="4"/>
        <v/>
      </c>
      <c r="P135" s="26" t="str">
        <f t="shared" si="5"/>
        <v/>
      </c>
      <c r="Q135" s="25" t="str">
        <f t="shared" si="6"/>
        <v/>
      </c>
      <c r="R135" s="25" t="str">
        <f t="shared" si="7"/>
        <v/>
      </c>
    </row>
    <row r="136" ht="15.75" customHeight="1">
      <c r="C136" s="47"/>
      <c r="D136" s="47"/>
      <c r="E136" s="47"/>
      <c r="F136" s="47"/>
      <c r="G136" s="47"/>
      <c r="H136" s="47"/>
      <c r="J136" s="47"/>
      <c r="L136" s="25" t="str">
        <f t="shared" si="1"/>
        <v/>
      </c>
      <c r="M136" s="25" t="str">
        <f t="shared" si="2"/>
        <v/>
      </c>
      <c r="N136" s="25" t="str">
        <f t="shared" si="3"/>
        <v/>
      </c>
      <c r="O136" s="25" t="str">
        <f t="shared" si="4"/>
        <v/>
      </c>
      <c r="P136" s="26" t="str">
        <f t="shared" si="5"/>
        <v/>
      </c>
      <c r="Q136" s="25" t="str">
        <f t="shared" si="6"/>
        <v/>
      </c>
      <c r="R136" s="25" t="str">
        <f t="shared" si="7"/>
        <v/>
      </c>
    </row>
    <row r="137" ht="15.75" customHeight="1">
      <c r="C137" s="47"/>
      <c r="D137" s="47"/>
      <c r="E137" s="47"/>
      <c r="F137" s="47"/>
      <c r="G137" s="47"/>
      <c r="H137" s="47"/>
      <c r="J137" s="47"/>
      <c r="L137" s="25" t="str">
        <f t="shared" si="1"/>
        <v/>
      </c>
      <c r="M137" s="25" t="str">
        <f t="shared" si="2"/>
        <v/>
      </c>
      <c r="N137" s="25" t="str">
        <f t="shared" si="3"/>
        <v/>
      </c>
      <c r="O137" s="25" t="str">
        <f t="shared" si="4"/>
        <v/>
      </c>
      <c r="P137" s="26" t="str">
        <f t="shared" si="5"/>
        <v/>
      </c>
      <c r="Q137" s="25" t="str">
        <f t="shared" si="6"/>
        <v/>
      </c>
      <c r="R137" s="25" t="str">
        <f t="shared" si="7"/>
        <v/>
      </c>
    </row>
    <row r="138" ht="15.75" customHeight="1">
      <c r="C138" s="47"/>
      <c r="D138" s="47"/>
      <c r="E138" s="47"/>
      <c r="F138" s="47"/>
      <c r="G138" s="47"/>
      <c r="H138" s="47"/>
      <c r="J138" s="47"/>
      <c r="L138" s="25" t="str">
        <f t="shared" si="1"/>
        <v/>
      </c>
      <c r="M138" s="25" t="str">
        <f t="shared" si="2"/>
        <v/>
      </c>
      <c r="N138" s="25" t="str">
        <f t="shared" si="3"/>
        <v/>
      </c>
      <c r="O138" s="25" t="str">
        <f t="shared" si="4"/>
        <v/>
      </c>
      <c r="P138" s="26" t="str">
        <f t="shared" si="5"/>
        <v/>
      </c>
      <c r="Q138" s="25" t="str">
        <f t="shared" si="6"/>
        <v/>
      </c>
      <c r="R138" s="25" t="str">
        <f t="shared" si="7"/>
        <v/>
      </c>
    </row>
    <row r="139" ht="15.75" customHeight="1">
      <c r="C139" s="47"/>
      <c r="D139" s="47"/>
      <c r="E139" s="47"/>
      <c r="F139" s="47"/>
      <c r="G139" s="47"/>
      <c r="H139" s="47"/>
      <c r="J139" s="47"/>
      <c r="L139" s="25" t="str">
        <f t="shared" si="1"/>
        <v/>
      </c>
      <c r="M139" s="25" t="str">
        <f t="shared" si="2"/>
        <v/>
      </c>
      <c r="N139" s="25" t="str">
        <f t="shared" si="3"/>
        <v/>
      </c>
      <c r="O139" s="25" t="str">
        <f t="shared" si="4"/>
        <v/>
      </c>
      <c r="P139" s="26" t="str">
        <f t="shared" si="5"/>
        <v/>
      </c>
      <c r="Q139" s="25" t="str">
        <f t="shared" si="6"/>
        <v/>
      </c>
      <c r="R139" s="25" t="str">
        <f t="shared" si="7"/>
        <v/>
      </c>
    </row>
    <row r="140" ht="15.75" customHeight="1">
      <c r="C140" s="47"/>
      <c r="D140" s="47"/>
      <c r="E140" s="47"/>
      <c r="F140" s="47"/>
      <c r="G140" s="47"/>
      <c r="H140" s="47"/>
      <c r="J140" s="47"/>
      <c r="L140" s="25" t="str">
        <f t="shared" si="1"/>
        <v/>
      </c>
      <c r="M140" s="25" t="str">
        <f t="shared" si="2"/>
        <v/>
      </c>
      <c r="N140" s="25" t="str">
        <f t="shared" si="3"/>
        <v/>
      </c>
      <c r="O140" s="25" t="str">
        <f t="shared" si="4"/>
        <v/>
      </c>
      <c r="P140" s="26" t="str">
        <f t="shared" si="5"/>
        <v/>
      </c>
      <c r="Q140" s="25" t="str">
        <f t="shared" si="6"/>
        <v/>
      </c>
      <c r="R140" s="25" t="str">
        <f t="shared" si="7"/>
        <v/>
      </c>
    </row>
    <row r="141" ht="15.75" customHeight="1">
      <c r="C141" s="47"/>
      <c r="D141" s="47"/>
      <c r="E141" s="47"/>
      <c r="F141" s="47"/>
      <c r="G141" s="47"/>
      <c r="H141" s="47"/>
      <c r="J141" s="47"/>
      <c r="L141" s="25" t="str">
        <f t="shared" si="1"/>
        <v/>
      </c>
      <c r="M141" s="25" t="str">
        <f t="shared" si="2"/>
        <v/>
      </c>
      <c r="N141" s="25" t="str">
        <f t="shared" si="3"/>
        <v/>
      </c>
      <c r="O141" s="25" t="str">
        <f t="shared" si="4"/>
        <v/>
      </c>
      <c r="P141" s="26" t="str">
        <f t="shared" si="5"/>
        <v/>
      </c>
      <c r="Q141" s="25" t="str">
        <f t="shared" si="6"/>
        <v/>
      </c>
      <c r="R141" s="25" t="str">
        <f t="shared" si="7"/>
        <v/>
      </c>
    </row>
    <row r="142" ht="15.75" customHeight="1">
      <c r="C142" s="47"/>
      <c r="D142" s="47"/>
      <c r="E142" s="47"/>
      <c r="F142" s="47"/>
      <c r="G142" s="47"/>
      <c r="H142" s="47"/>
      <c r="J142" s="47"/>
      <c r="L142" s="25" t="str">
        <f t="shared" si="1"/>
        <v/>
      </c>
      <c r="M142" s="25" t="str">
        <f t="shared" si="2"/>
        <v/>
      </c>
      <c r="N142" s="25" t="str">
        <f t="shared" si="3"/>
        <v/>
      </c>
      <c r="O142" s="25" t="str">
        <f t="shared" si="4"/>
        <v/>
      </c>
      <c r="P142" s="26" t="str">
        <f t="shared" si="5"/>
        <v/>
      </c>
      <c r="Q142" s="25" t="str">
        <f t="shared" si="6"/>
        <v/>
      </c>
      <c r="R142" s="25" t="str">
        <f t="shared" si="7"/>
        <v/>
      </c>
    </row>
    <row r="143" ht="15.75" customHeight="1">
      <c r="C143" s="47"/>
      <c r="D143" s="47"/>
      <c r="E143" s="47"/>
      <c r="F143" s="47"/>
      <c r="G143" s="47"/>
      <c r="H143" s="47"/>
      <c r="J143" s="47"/>
      <c r="L143" s="25" t="str">
        <f t="shared" si="1"/>
        <v/>
      </c>
      <c r="M143" s="25" t="str">
        <f t="shared" si="2"/>
        <v/>
      </c>
      <c r="N143" s="25" t="str">
        <f t="shared" si="3"/>
        <v/>
      </c>
      <c r="O143" s="25" t="str">
        <f t="shared" si="4"/>
        <v/>
      </c>
      <c r="P143" s="26" t="str">
        <f t="shared" si="5"/>
        <v/>
      </c>
      <c r="Q143" s="25" t="str">
        <f t="shared" si="6"/>
        <v/>
      </c>
      <c r="R143" s="25" t="str">
        <f t="shared" si="7"/>
        <v/>
      </c>
    </row>
    <row r="144" ht="15.75" customHeight="1">
      <c r="C144" s="47"/>
      <c r="D144" s="47"/>
      <c r="E144" s="47"/>
      <c r="F144" s="47"/>
      <c r="G144" s="47"/>
      <c r="H144" s="47"/>
      <c r="J144" s="47"/>
      <c r="L144" s="25" t="str">
        <f t="shared" si="1"/>
        <v/>
      </c>
      <c r="M144" s="25" t="str">
        <f t="shared" si="2"/>
        <v/>
      </c>
      <c r="N144" s="25" t="str">
        <f t="shared" si="3"/>
        <v/>
      </c>
      <c r="O144" s="25" t="str">
        <f t="shared" si="4"/>
        <v/>
      </c>
      <c r="P144" s="26" t="str">
        <f t="shared" si="5"/>
        <v/>
      </c>
      <c r="Q144" s="25" t="str">
        <f t="shared" si="6"/>
        <v/>
      </c>
      <c r="R144" s="25" t="str">
        <f t="shared" si="7"/>
        <v/>
      </c>
    </row>
    <row r="145" ht="15.75" customHeight="1">
      <c r="C145" s="47"/>
      <c r="D145" s="47"/>
      <c r="E145" s="47"/>
      <c r="F145" s="47"/>
      <c r="G145" s="47"/>
      <c r="H145" s="47"/>
      <c r="J145" s="47"/>
      <c r="L145" s="25" t="str">
        <f t="shared" si="1"/>
        <v/>
      </c>
      <c r="M145" s="25" t="str">
        <f t="shared" si="2"/>
        <v/>
      </c>
      <c r="N145" s="25" t="str">
        <f t="shared" si="3"/>
        <v/>
      </c>
      <c r="O145" s="25" t="str">
        <f t="shared" si="4"/>
        <v/>
      </c>
      <c r="P145" s="26" t="str">
        <f t="shared" si="5"/>
        <v/>
      </c>
      <c r="Q145" s="25" t="str">
        <f t="shared" si="6"/>
        <v/>
      </c>
      <c r="R145" s="25" t="str">
        <f t="shared" si="7"/>
        <v/>
      </c>
    </row>
    <row r="146" ht="15.75" customHeight="1">
      <c r="C146" s="47"/>
      <c r="D146" s="47"/>
      <c r="E146" s="47"/>
      <c r="F146" s="47"/>
      <c r="G146" s="47"/>
      <c r="H146" s="47"/>
      <c r="J146" s="47"/>
      <c r="L146" s="25" t="str">
        <f t="shared" si="1"/>
        <v/>
      </c>
      <c r="M146" s="25" t="str">
        <f t="shared" si="2"/>
        <v/>
      </c>
      <c r="N146" s="25" t="str">
        <f t="shared" si="3"/>
        <v/>
      </c>
      <c r="O146" s="25" t="str">
        <f t="shared" si="4"/>
        <v/>
      </c>
      <c r="P146" s="26" t="str">
        <f t="shared" si="5"/>
        <v/>
      </c>
      <c r="Q146" s="25" t="str">
        <f t="shared" si="6"/>
        <v/>
      </c>
      <c r="R146" s="25" t="str">
        <f t="shared" si="7"/>
        <v/>
      </c>
    </row>
    <row r="147" ht="15.75" customHeight="1">
      <c r="C147" s="47"/>
      <c r="D147" s="47"/>
      <c r="E147" s="47"/>
      <c r="F147" s="47"/>
      <c r="G147" s="47"/>
      <c r="H147" s="47"/>
      <c r="J147" s="47"/>
      <c r="L147" s="25" t="str">
        <f t="shared" si="1"/>
        <v/>
      </c>
      <c r="M147" s="25" t="str">
        <f t="shared" si="2"/>
        <v/>
      </c>
      <c r="N147" s="25" t="str">
        <f t="shared" si="3"/>
        <v/>
      </c>
      <c r="O147" s="25" t="str">
        <f t="shared" si="4"/>
        <v/>
      </c>
      <c r="P147" s="26" t="str">
        <f t="shared" si="5"/>
        <v/>
      </c>
      <c r="Q147" s="25" t="str">
        <f t="shared" si="6"/>
        <v/>
      </c>
      <c r="R147" s="25" t="str">
        <f t="shared" si="7"/>
        <v/>
      </c>
    </row>
    <row r="148" ht="15.75" customHeight="1">
      <c r="C148" s="47"/>
      <c r="D148" s="47"/>
      <c r="E148" s="47"/>
      <c r="F148" s="47"/>
      <c r="G148" s="47"/>
      <c r="H148" s="47"/>
      <c r="J148" s="47"/>
      <c r="L148" s="25" t="str">
        <f t="shared" si="1"/>
        <v/>
      </c>
      <c r="M148" s="25" t="str">
        <f t="shared" si="2"/>
        <v/>
      </c>
      <c r="N148" s="25" t="str">
        <f t="shared" si="3"/>
        <v/>
      </c>
      <c r="O148" s="25" t="str">
        <f t="shared" si="4"/>
        <v/>
      </c>
      <c r="P148" s="26" t="str">
        <f t="shared" si="5"/>
        <v/>
      </c>
      <c r="Q148" s="25" t="str">
        <f t="shared" si="6"/>
        <v/>
      </c>
      <c r="R148" s="25" t="str">
        <f t="shared" si="7"/>
        <v/>
      </c>
    </row>
    <row r="149" ht="15.75" customHeight="1">
      <c r="C149" s="47"/>
      <c r="D149" s="47"/>
      <c r="E149" s="47"/>
      <c r="F149" s="47"/>
      <c r="G149" s="47"/>
      <c r="H149" s="47"/>
      <c r="J149" s="47"/>
      <c r="L149" s="25" t="str">
        <f t="shared" si="1"/>
        <v/>
      </c>
      <c r="M149" s="25" t="str">
        <f t="shared" si="2"/>
        <v/>
      </c>
      <c r="N149" s="25" t="str">
        <f t="shared" si="3"/>
        <v/>
      </c>
      <c r="O149" s="25" t="str">
        <f t="shared" si="4"/>
        <v/>
      </c>
      <c r="P149" s="26" t="str">
        <f t="shared" si="5"/>
        <v/>
      </c>
      <c r="Q149" s="25" t="str">
        <f t="shared" si="6"/>
        <v/>
      </c>
      <c r="R149" s="25" t="str">
        <f t="shared" si="7"/>
        <v/>
      </c>
    </row>
    <row r="150" ht="15.75" customHeight="1">
      <c r="C150" s="47"/>
      <c r="D150" s="47"/>
      <c r="E150" s="47"/>
      <c r="F150" s="47"/>
      <c r="G150" s="47"/>
      <c r="H150" s="47"/>
      <c r="J150" s="47"/>
      <c r="L150" s="25" t="str">
        <f t="shared" si="1"/>
        <v/>
      </c>
      <c r="M150" s="25" t="str">
        <f t="shared" si="2"/>
        <v/>
      </c>
      <c r="N150" s="25" t="str">
        <f t="shared" si="3"/>
        <v/>
      </c>
      <c r="O150" s="25" t="str">
        <f t="shared" si="4"/>
        <v/>
      </c>
      <c r="P150" s="26" t="str">
        <f t="shared" si="5"/>
        <v/>
      </c>
      <c r="Q150" s="25" t="str">
        <f t="shared" si="6"/>
        <v/>
      </c>
      <c r="R150" s="25" t="str">
        <f t="shared" si="7"/>
        <v/>
      </c>
    </row>
    <row r="151" ht="15.75" customHeight="1">
      <c r="C151" s="47"/>
      <c r="D151" s="47"/>
      <c r="E151" s="47"/>
      <c r="F151" s="47"/>
      <c r="G151" s="47"/>
      <c r="H151" s="47"/>
      <c r="J151" s="47"/>
      <c r="L151" s="25" t="str">
        <f t="shared" si="1"/>
        <v/>
      </c>
      <c r="M151" s="25" t="str">
        <f t="shared" si="2"/>
        <v/>
      </c>
      <c r="N151" s="25" t="str">
        <f t="shared" si="3"/>
        <v/>
      </c>
      <c r="O151" s="25" t="str">
        <f t="shared" si="4"/>
        <v/>
      </c>
      <c r="P151" s="26" t="str">
        <f t="shared" si="5"/>
        <v/>
      </c>
      <c r="Q151" s="25" t="str">
        <f t="shared" si="6"/>
        <v/>
      </c>
      <c r="R151" s="25" t="str">
        <f t="shared" si="7"/>
        <v/>
      </c>
    </row>
    <row r="152" ht="15.75" customHeight="1">
      <c r="C152" s="47"/>
      <c r="D152" s="47"/>
      <c r="E152" s="47"/>
      <c r="F152" s="47"/>
      <c r="G152" s="47"/>
      <c r="H152" s="47"/>
      <c r="J152" s="47"/>
      <c r="L152" s="25" t="str">
        <f t="shared" si="1"/>
        <v/>
      </c>
      <c r="M152" s="25" t="str">
        <f t="shared" si="2"/>
        <v/>
      </c>
      <c r="N152" s="25" t="str">
        <f t="shared" si="3"/>
        <v/>
      </c>
      <c r="O152" s="25" t="str">
        <f t="shared" si="4"/>
        <v/>
      </c>
      <c r="P152" s="26" t="str">
        <f t="shared" si="5"/>
        <v/>
      </c>
      <c r="Q152" s="25" t="str">
        <f t="shared" si="6"/>
        <v/>
      </c>
      <c r="R152" s="25" t="str">
        <f t="shared" si="7"/>
        <v/>
      </c>
    </row>
    <row r="153" ht="15.75" customHeight="1">
      <c r="C153" s="47"/>
      <c r="D153" s="47"/>
      <c r="E153" s="47"/>
      <c r="F153" s="47"/>
      <c r="G153" s="47"/>
      <c r="H153" s="47"/>
      <c r="J153" s="47"/>
      <c r="L153" s="25" t="str">
        <f t="shared" si="1"/>
        <v/>
      </c>
      <c r="M153" s="25" t="str">
        <f t="shared" si="2"/>
        <v/>
      </c>
      <c r="N153" s="25" t="str">
        <f t="shared" si="3"/>
        <v/>
      </c>
      <c r="O153" s="25" t="str">
        <f t="shared" si="4"/>
        <v/>
      </c>
      <c r="P153" s="26" t="str">
        <f t="shared" si="5"/>
        <v/>
      </c>
      <c r="Q153" s="25" t="str">
        <f t="shared" si="6"/>
        <v/>
      </c>
      <c r="R153" s="25" t="str">
        <f t="shared" si="7"/>
        <v/>
      </c>
    </row>
    <row r="154" ht="15.75" customHeight="1">
      <c r="C154" s="47"/>
      <c r="D154" s="47"/>
      <c r="E154" s="47"/>
      <c r="F154" s="47"/>
      <c r="G154" s="47"/>
      <c r="H154" s="47"/>
      <c r="J154" s="47"/>
      <c r="L154" s="25" t="str">
        <f t="shared" si="1"/>
        <v/>
      </c>
      <c r="M154" s="25" t="str">
        <f t="shared" si="2"/>
        <v/>
      </c>
      <c r="N154" s="25" t="str">
        <f t="shared" si="3"/>
        <v/>
      </c>
      <c r="O154" s="25" t="str">
        <f t="shared" si="4"/>
        <v/>
      </c>
      <c r="P154" s="26" t="str">
        <f t="shared" si="5"/>
        <v/>
      </c>
      <c r="Q154" s="25" t="str">
        <f t="shared" si="6"/>
        <v/>
      </c>
      <c r="R154" s="25" t="str">
        <f t="shared" si="7"/>
        <v/>
      </c>
    </row>
    <row r="155" ht="15.75" customHeight="1">
      <c r="C155" s="47"/>
      <c r="D155" s="47"/>
      <c r="E155" s="47"/>
      <c r="F155" s="47"/>
      <c r="G155" s="47"/>
      <c r="H155" s="47"/>
      <c r="J155" s="47"/>
      <c r="L155" s="25" t="str">
        <f t="shared" si="1"/>
        <v/>
      </c>
      <c r="M155" s="25" t="str">
        <f t="shared" si="2"/>
        <v/>
      </c>
      <c r="N155" s="25" t="str">
        <f t="shared" si="3"/>
        <v/>
      </c>
      <c r="O155" s="25" t="str">
        <f t="shared" si="4"/>
        <v/>
      </c>
      <c r="P155" s="26" t="str">
        <f t="shared" si="5"/>
        <v/>
      </c>
      <c r="Q155" s="25" t="str">
        <f t="shared" si="6"/>
        <v/>
      </c>
      <c r="R155" s="25" t="str">
        <f t="shared" si="7"/>
        <v/>
      </c>
    </row>
    <row r="156" ht="15.75" customHeight="1">
      <c r="C156" s="47"/>
      <c r="D156" s="47"/>
      <c r="E156" s="47"/>
      <c r="F156" s="47"/>
      <c r="G156" s="47"/>
      <c r="H156" s="47"/>
      <c r="J156" s="47"/>
      <c r="L156" s="25" t="str">
        <f t="shared" si="1"/>
        <v/>
      </c>
      <c r="M156" s="25" t="str">
        <f t="shared" si="2"/>
        <v/>
      </c>
      <c r="N156" s="25" t="str">
        <f t="shared" si="3"/>
        <v/>
      </c>
      <c r="O156" s="25" t="str">
        <f t="shared" si="4"/>
        <v/>
      </c>
      <c r="P156" s="26" t="str">
        <f t="shared" si="5"/>
        <v/>
      </c>
      <c r="Q156" s="25" t="str">
        <f t="shared" si="6"/>
        <v/>
      </c>
      <c r="R156" s="25" t="str">
        <f t="shared" si="7"/>
        <v/>
      </c>
    </row>
    <row r="157" ht="15.75" customHeight="1">
      <c r="C157" s="47"/>
      <c r="D157" s="47"/>
      <c r="E157" s="47"/>
      <c r="F157" s="47"/>
      <c r="G157" s="47"/>
      <c r="H157" s="47"/>
      <c r="J157" s="47"/>
      <c r="L157" s="25" t="str">
        <f t="shared" si="1"/>
        <v/>
      </c>
      <c r="M157" s="25" t="str">
        <f t="shared" si="2"/>
        <v/>
      </c>
      <c r="N157" s="25" t="str">
        <f t="shared" si="3"/>
        <v/>
      </c>
      <c r="O157" s="25" t="str">
        <f t="shared" si="4"/>
        <v/>
      </c>
      <c r="P157" s="26" t="str">
        <f t="shared" si="5"/>
        <v/>
      </c>
      <c r="Q157" s="25" t="str">
        <f t="shared" si="6"/>
        <v/>
      </c>
      <c r="R157" s="25" t="str">
        <f t="shared" si="7"/>
        <v/>
      </c>
    </row>
    <row r="158" ht="15.75" customHeight="1">
      <c r="C158" s="47"/>
      <c r="D158" s="47"/>
      <c r="E158" s="47"/>
      <c r="F158" s="47"/>
      <c r="G158" s="47"/>
      <c r="H158" s="47"/>
      <c r="J158" s="47"/>
      <c r="L158" s="25" t="str">
        <f t="shared" si="1"/>
        <v/>
      </c>
      <c r="M158" s="25" t="str">
        <f t="shared" si="2"/>
        <v/>
      </c>
      <c r="N158" s="25" t="str">
        <f t="shared" si="3"/>
        <v/>
      </c>
      <c r="O158" s="25" t="str">
        <f t="shared" si="4"/>
        <v/>
      </c>
      <c r="P158" s="26" t="str">
        <f t="shared" si="5"/>
        <v/>
      </c>
      <c r="Q158" s="25" t="str">
        <f t="shared" si="6"/>
        <v/>
      </c>
      <c r="R158" s="25" t="str">
        <f t="shared" si="7"/>
        <v/>
      </c>
    </row>
    <row r="159" ht="15.75" customHeight="1">
      <c r="C159" s="47"/>
      <c r="D159" s="47"/>
      <c r="E159" s="47"/>
      <c r="F159" s="47"/>
      <c r="G159" s="47"/>
      <c r="H159" s="47"/>
      <c r="J159" s="47"/>
      <c r="L159" s="25" t="str">
        <f t="shared" si="1"/>
        <v/>
      </c>
      <c r="M159" s="25" t="str">
        <f t="shared" si="2"/>
        <v/>
      </c>
      <c r="N159" s="25" t="str">
        <f t="shared" si="3"/>
        <v/>
      </c>
      <c r="O159" s="25" t="str">
        <f t="shared" si="4"/>
        <v/>
      </c>
      <c r="P159" s="26" t="str">
        <f t="shared" si="5"/>
        <v/>
      </c>
      <c r="Q159" s="25" t="str">
        <f t="shared" si="6"/>
        <v/>
      </c>
      <c r="R159" s="25" t="str">
        <f t="shared" si="7"/>
        <v/>
      </c>
    </row>
    <row r="160" ht="15.75" customHeight="1">
      <c r="C160" s="47"/>
      <c r="D160" s="47"/>
      <c r="E160" s="47"/>
      <c r="F160" s="47"/>
      <c r="G160" s="47"/>
      <c r="H160" s="47"/>
      <c r="J160" s="47"/>
      <c r="L160" s="25" t="str">
        <f t="shared" si="1"/>
        <v/>
      </c>
      <c r="M160" s="25" t="str">
        <f t="shared" si="2"/>
        <v/>
      </c>
      <c r="N160" s="25" t="str">
        <f t="shared" si="3"/>
        <v/>
      </c>
      <c r="O160" s="25" t="str">
        <f t="shared" si="4"/>
        <v/>
      </c>
      <c r="P160" s="26" t="str">
        <f t="shared" si="5"/>
        <v/>
      </c>
      <c r="Q160" s="25" t="str">
        <f t="shared" si="6"/>
        <v/>
      </c>
      <c r="R160" s="25" t="str">
        <f t="shared" si="7"/>
        <v/>
      </c>
    </row>
    <row r="161" ht="15.75" customHeight="1">
      <c r="C161" s="47"/>
      <c r="D161" s="47"/>
      <c r="E161" s="47"/>
      <c r="F161" s="47"/>
      <c r="G161" s="47"/>
      <c r="H161" s="47"/>
      <c r="J161" s="47"/>
      <c r="L161" s="25" t="str">
        <f t="shared" si="1"/>
        <v/>
      </c>
      <c r="M161" s="25" t="str">
        <f t="shared" si="2"/>
        <v/>
      </c>
      <c r="N161" s="25" t="str">
        <f t="shared" si="3"/>
        <v/>
      </c>
      <c r="O161" s="25" t="str">
        <f t="shared" si="4"/>
        <v/>
      </c>
      <c r="P161" s="26" t="str">
        <f t="shared" si="5"/>
        <v/>
      </c>
      <c r="Q161" s="25" t="str">
        <f t="shared" si="6"/>
        <v/>
      </c>
      <c r="R161" s="25" t="str">
        <f t="shared" si="7"/>
        <v/>
      </c>
    </row>
    <row r="162" ht="15.75" customHeight="1">
      <c r="C162" s="47"/>
      <c r="D162" s="47"/>
      <c r="E162" s="47"/>
      <c r="F162" s="47"/>
      <c r="G162" s="47"/>
      <c r="H162" s="47"/>
      <c r="J162" s="47"/>
      <c r="L162" s="25" t="str">
        <f t="shared" si="1"/>
        <v/>
      </c>
      <c r="M162" s="25" t="str">
        <f t="shared" si="2"/>
        <v/>
      </c>
      <c r="N162" s="25" t="str">
        <f t="shared" si="3"/>
        <v/>
      </c>
      <c r="O162" s="25" t="str">
        <f t="shared" si="4"/>
        <v/>
      </c>
      <c r="P162" s="26" t="str">
        <f t="shared" si="5"/>
        <v/>
      </c>
      <c r="Q162" s="25" t="str">
        <f t="shared" si="6"/>
        <v/>
      </c>
      <c r="R162" s="25" t="str">
        <f t="shared" si="7"/>
        <v/>
      </c>
    </row>
    <row r="163" ht="15.75" customHeight="1">
      <c r="C163" s="47"/>
      <c r="D163" s="47"/>
      <c r="E163" s="47"/>
      <c r="F163" s="47"/>
      <c r="G163" s="47"/>
      <c r="H163" s="47"/>
      <c r="J163" s="47"/>
      <c r="L163" s="25" t="str">
        <f t="shared" si="1"/>
        <v/>
      </c>
      <c r="M163" s="25" t="str">
        <f t="shared" si="2"/>
        <v/>
      </c>
      <c r="N163" s="25" t="str">
        <f t="shared" si="3"/>
        <v/>
      </c>
      <c r="O163" s="25" t="str">
        <f t="shared" si="4"/>
        <v/>
      </c>
      <c r="P163" s="26" t="str">
        <f t="shared" si="5"/>
        <v/>
      </c>
      <c r="Q163" s="25" t="str">
        <f t="shared" si="6"/>
        <v/>
      </c>
      <c r="R163" s="25" t="str">
        <f t="shared" si="7"/>
        <v/>
      </c>
    </row>
    <row r="164" ht="15.75" customHeight="1">
      <c r="C164" s="47"/>
      <c r="D164" s="47"/>
      <c r="E164" s="47"/>
      <c r="F164" s="47"/>
      <c r="G164" s="47"/>
      <c r="H164" s="47"/>
      <c r="J164" s="47"/>
      <c r="L164" s="25" t="str">
        <f t="shared" si="1"/>
        <v/>
      </c>
      <c r="M164" s="25" t="str">
        <f t="shared" si="2"/>
        <v/>
      </c>
      <c r="N164" s="25" t="str">
        <f t="shared" si="3"/>
        <v/>
      </c>
      <c r="O164" s="25" t="str">
        <f t="shared" si="4"/>
        <v/>
      </c>
      <c r="P164" s="26" t="str">
        <f t="shared" si="5"/>
        <v/>
      </c>
      <c r="Q164" s="25" t="str">
        <f t="shared" si="6"/>
        <v/>
      </c>
      <c r="R164" s="25" t="str">
        <f t="shared" si="7"/>
        <v/>
      </c>
    </row>
    <row r="165" ht="15.75" customHeight="1">
      <c r="C165" s="47"/>
      <c r="D165" s="47"/>
      <c r="E165" s="47"/>
      <c r="F165" s="47"/>
      <c r="G165" s="47"/>
      <c r="H165" s="47"/>
      <c r="J165" s="47"/>
      <c r="L165" s="25" t="str">
        <f t="shared" si="1"/>
        <v/>
      </c>
      <c r="M165" s="25" t="str">
        <f t="shared" si="2"/>
        <v/>
      </c>
      <c r="N165" s="25" t="str">
        <f t="shared" si="3"/>
        <v/>
      </c>
      <c r="O165" s="25" t="str">
        <f t="shared" si="4"/>
        <v/>
      </c>
      <c r="P165" s="26" t="str">
        <f t="shared" si="5"/>
        <v/>
      </c>
      <c r="Q165" s="25" t="str">
        <f t="shared" si="6"/>
        <v/>
      </c>
      <c r="R165" s="25" t="str">
        <f t="shared" si="7"/>
        <v/>
      </c>
    </row>
    <row r="166" ht="15.75" customHeight="1">
      <c r="C166" s="47"/>
      <c r="D166" s="47"/>
      <c r="E166" s="47"/>
      <c r="F166" s="47"/>
      <c r="G166" s="47"/>
      <c r="H166" s="47"/>
      <c r="J166" s="47"/>
      <c r="L166" s="25" t="str">
        <f t="shared" si="1"/>
        <v/>
      </c>
      <c r="M166" s="25" t="str">
        <f t="shared" si="2"/>
        <v/>
      </c>
      <c r="N166" s="25" t="str">
        <f t="shared" si="3"/>
        <v/>
      </c>
      <c r="O166" s="25" t="str">
        <f t="shared" si="4"/>
        <v/>
      </c>
      <c r="P166" s="26" t="str">
        <f t="shared" si="5"/>
        <v/>
      </c>
      <c r="Q166" s="25" t="str">
        <f t="shared" si="6"/>
        <v/>
      </c>
      <c r="R166" s="25" t="str">
        <f t="shared" si="7"/>
        <v/>
      </c>
    </row>
    <row r="167" ht="15.75" customHeight="1">
      <c r="C167" s="47"/>
      <c r="D167" s="47"/>
      <c r="E167" s="47"/>
      <c r="F167" s="47"/>
      <c r="G167" s="47"/>
      <c r="H167" s="47"/>
      <c r="J167" s="47"/>
      <c r="L167" s="25" t="str">
        <f t="shared" si="1"/>
        <v/>
      </c>
      <c r="M167" s="25" t="str">
        <f t="shared" si="2"/>
        <v/>
      </c>
      <c r="N167" s="25" t="str">
        <f t="shared" si="3"/>
        <v/>
      </c>
      <c r="O167" s="25" t="str">
        <f t="shared" si="4"/>
        <v/>
      </c>
      <c r="P167" s="26" t="str">
        <f t="shared" si="5"/>
        <v/>
      </c>
      <c r="Q167" s="25" t="str">
        <f t="shared" si="6"/>
        <v/>
      </c>
      <c r="R167" s="25" t="str">
        <f t="shared" si="7"/>
        <v/>
      </c>
    </row>
    <row r="168" ht="15.75" customHeight="1">
      <c r="C168" s="47"/>
      <c r="D168" s="47"/>
      <c r="E168" s="47"/>
      <c r="F168" s="47"/>
      <c r="G168" s="47"/>
      <c r="H168" s="47"/>
      <c r="J168" s="47"/>
      <c r="L168" s="25" t="str">
        <f t="shared" si="1"/>
        <v/>
      </c>
      <c r="M168" s="25" t="str">
        <f t="shared" si="2"/>
        <v/>
      </c>
      <c r="N168" s="25" t="str">
        <f t="shared" si="3"/>
        <v/>
      </c>
      <c r="O168" s="25" t="str">
        <f t="shared" si="4"/>
        <v/>
      </c>
      <c r="P168" s="26" t="str">
        <f t="shared" si="5"/>
        <v/>
      </c>
      <c r="Q168" s="25" t="str">
        <f t="shared" si="6"/>
        <v/>
      </c>
      <c r="R168" s="25" t="str">
        <f t="shared" si="7"/>
        <v/>
      </c>
    </row>
    <row r="169" ht="15.75" customHeight="1">
      <c r="C169" s="47"/>
      <c r="D169" s="47"/>
      <c r="E169" s="47"/>
      <c r="F169" s="47"/>
      <c r="G169" s="47"/>
      <c r="H169" s="47"/>
      <c r="J169" s="47"/>
      <c r="L169" s="25" t="str">
        <f t="shared" si="1"/>
        <v/>
      </c>
      <c r="M169" s="25" t="str">
        <f t="shared" si="2"/>
        <v/>
      </c>
      <c r="N169" s="25" t="str">
        <f t="shared" si="3"/>
        <v/>
      </c>
      <c r="O169" s="25" t="str">
        <f t="shared" si="4"/>
        <v/>
      </c>
      <c r="P169" s="26" t="str">
        <f t="shared" si="5"/>
        <v/>
      </c>
      <c r="Q169" s="25" t="str">
        <f t="shared" si="6"/>
        <v/>
      </c>
      <c r="R169" s="25" t="str">
        <f t="shared" si="7"/>
        <v/>
      </c>
    </row>
    <row r="170" ht="15.75" customHeight="1">
      <c r="C170" s="47"/>
      <c r="D170" s="47"/>
      <c r="E170" s="47"/>
      <c r="F170" s="47"/>
      <c r="G170" s="47"/>
      <c r="H170" s="47"/>
      <c r="J170" s="47"/>
      <c r="L170" s="25" t="str">
        <f t="shared" si="1"/>
        <v/>
      </c>
      <c r="M170" s="25" t="str">
        <f t="shared" si="2"/>
        <v/>
      </c>
      <c r="N170" s="25" t="str">
        <f t="shared" si="3"/>
        <v/>
      </c>
      <c r="O170" s="25" t="str">
        <f t="shared" si="4"/>
        <v/>
      </c>
      <c r="P170" s="26" t="str">
        <f t="shared" si="5"/>
        <v/>
      </c>
      <c r="Q170" s="25" t="str">
        <f t="shared" si="6"/>
        <v/>
      </c>
      <c r="R170" s="25" t="str">
        <f t="shared" si="7"/>
        <v/>
      </c>
    </row>
    <row r="171" ht="15.75" customHeight="1">
      <c r="C171" s="47"/>
      <c r="D171" s="47"/>
      <c r="E171" s="47"/>
      <c r="F171" s="47"/>
      <c r="G171" s="47"/>
      <c r="H171" s="47"/>
      <c r="J171" s="47"/>
      <c r="L171" s="25" t="str">
        <f t="shared" si="1"/>
        <v/>
      </c>
      <c r="M171" s="25" t="str">
        <f t="shared" si="2"/>
        <v/>
      </c>
      <c r="N171" s="25" t="str">
        <f t="shared" si="3"/>
        <v/>
      </c>
      <c r="O171" s="25" t="str">
        <f t="shared" si="4"/>
        <v/>
      </c>
      <c r="P171" s="26" t="str">
        <f t="shared" si="5"/>
        <v/>
      </c>
      <c r="Q171" s="25" t="str">
        <f t="shared" si="6"/>
        <v/>
      </c>
      <c r="R171" s="25" t="str">
        <f t="shared" si="7"/>
        <v/>
      </c>
    </row>
    <row r="172" ht="15.75" customHeight="1">
      <c r="C172" s="47"/>
      <c r="D172" s="47"/>
      <c r="E172" s="47"/>
      <c r="F172" s="47"/>
      <c r="G172" s="47"/>
      <c r="H172" s="47"/>
      <c r="J172" s="47"/>
      <c r="L172" s="25" t="str">
        <f t="shared" si="1"/>
        <v/>
      </c>
      <c r="M172" s="25" t="str">
        <f t="shared" si="2"/>
        <v/>
      </c>
      <c r="N172" s="25" t="str">
        <f t="shared" si="3"/>
        <v/>
      </c>
      <c r="O172" s="25" t="str">
        <f t="shared" si="4"/>
        <v/>
      </c>
      <c r="P172" s="26" t="str">
        <f t="shared" si="5"/>
        <v/>
      </c>
      <c r="Q172" s="25" t="str">
        <f t="shared" si="6"/>
        <v/>
      </c>
      <c r="R172" s="25" t="str">
        <f t="shared" si="7"/>
        <v/>
      </c>
    </row>
    <row r="173" ht="15.75" customHeight="1">
      <c r="C173" s="47"/>
      <c r="D173" s="47"/>
      <c r="E173" s="47"/>
      <c r="F173" s="47"/>
      <c r="G173" s="47"/>
      <c r="H173" s="47"/>
      <c r="J173" s="47"/>
      <c r="L173" s="25" t="str">
        <f t="shared" si="1"/>
        <v/>
      </c>
      <c r="M173" s="25" t="str">
        <f t="shared" si="2"/>
        <v/>
      </c>
      <c r="N173" s="25" t="str">
        <f t="shared" si="3"/>
        <v/>
      </c>
      <c r="O173" s="25" t="str">
        <f t="shared" si="4"/>
        <v/>
      </c>
      <c r="P173" s="26" t="str">
        <f t="shared" si="5"/>
        <v/>
      </c>
      <c r="Q173" s="25" t="str">
        <f t="shared" si="6"/>
        <v/>
      </c>
      <c r="R173" s="25" t="str">
        <f t="shared" si="7"/>
        <v/>
      </c>
    </row>
    <row r="174" ht="15.75" customHeight="1">
      <c r="C174" s="47"/>
      <c r="D174" s="47"/>
      <c r="E174" s="47"/>
      <c r="F174" s="47"/>
      <c r="G174" s="47"/>
      <c r="H174" s="47"/>
      <c r="J174" s="47"/>
      <c r="L174" s="25" t="str">
        <f t="shared" si="1"/>
        <v/>
      </c>
      <c r="M174" s="25" t="str">
        <f t="shared" si="2"/>
        <v/>
      </c>
      <c r="N174" s="25" t="str">
        <f t="shared" si="3"/>
        <v/>
      </c>
      <c r="O174" s="25" t="str">
        <f t="shared" si="4"/>
        <v/>
      </c>
      <c r="P174" s="26" t="str">
        <f t="shared" si="5"/>
        <v/>
      </c>
      <c r="Q174" s="25" t="str">
        <f t="shared" si="6"/>
        <v/>
      </c>
      <c r="R174" s="25" t="str">
        <f t="shared" si="7"/>
        <v/>
      </c>
    </row>
    <row r="175" ht="15.75" customHeight="1">
      <c r="C175" s="47"/>
      <c r="D175" s="47"/>
      <c r="E175" s="47"/>
      <c r="F175" s="47"/>
      <c r="G175" s="47"/>
      <c r="H175" s="47"/>
      <c r="J175" s="47"/>
      <c r="L175" s="25" t="str">
        <f t="shared" si="1"/>
        <v/>
      </c>
      <c r="M175" s="25" t="str">
        <f t="shared" si="2"/>
        <v/>
      </c>
      <c r="N175" s="25" t="str">
        <f t="shared" si="3"/>
        <v/>
      </c>
      <c r="O175" s="25" t="str">
        <f t="shared" si="4"/>
        <v/>
      </c>
      <c r="P175" s="26" t="str">
        <f t="shared" si="5"/>
        <v/>
      </c>
      <c r="Q175" s="25" t="str">
        <f t="shared" si="6"/>
        <v/>
      </c>
      <c r="R175" s="25" t="str">
        <f t="shared" si="7"/>
        <v/>
      </c>
    </row>
    <row r="176" ht="15.75" customHeight="1">
      <c r="C176" s="47"/>
      <c r="D176" s="47"/>
      <c r="E176" s="47"/>
      <c r="F176" s="47"/>
      <c r="G176" s="47"/>
      <c r="H176" s="47"/>
      <c r="J176" s="47"/>
      <c r="L176" s="25" t="str">
        <f t="shared" si="1"/>
        <v/>
      </c>
      <c r="M176" s="25" t="str">
        <f t="shared" si="2"/>
        <v/>
      </c>
      <c r="N176" s="25" t="str">
        <f t="shared" si="3"/>
        <v/>
      </c>
      <c r="O176" s="25" t="str">
        <f t="shared" si="4"/>
        <v/>
      </c>
      <c r="P176" s="26" t="str">
        <f t="shared" si="5"/>
        <v/>
      </c>
      <c r="Q176" s="25" t="str">
        <f t="shared" si="6"/>
        <v/>
      </c>
      <c r="R176" s="25" t="str">
        <f t="shared" si="7"/>
        <v/>
      </c>
    </row>
    <row r="177" ht="15.75" customHeight="1">
      <c r="C177" s="47"/>
      <c r="D177" s="47"/>
      <c r="E177" s="47"/>
      <c r="F177" s="47"/>
      <c r="G177" s="47"/>
      <c r="H177" s="47"/>
      <c r="J177" s="47"/>
      <c r="L177" s="25" t="str">
        <f t="shared" si="1"/>
        <v/>
      </c>
      <c r="M177" s="25" t="str">
        <f t="shared" si="2"/>
        <v/>
      </c>
      <c r="N177" s="25" t="str">
        <f t="shared" si="3"/>
        <v/>
      </c>
      <c r="O177" s="25" t="str">
        <f t="shared" si="4"/>
        <v/>
      </c>
      <c r="P177" s="26" t="str">
        <f t="shared" si="5"/>
        <v/>
      </c>
      <c r="Q177" s="25" t="str">
        <f t="shared" si="6"/>
        <v/>
      </c>
      <c r="R177" s="25" t="str">
        <f t="shared" si="7"/>
        <v/>
      </c>
    </row>
    <row r="178" ht="15.75" customHeight="1">
      <c r="C178" s="47"/>
      <c r="D178" s="47"/>
      <c r="E178" s="47"/>
      <c r="F178" s="47"/>
      <c r="G178" s="47"/>
      <c r="H178" s="47"/>
      <c r="J178" s="47"/>
      <c r="L178" s="25" t="str">
        <f t="shared" si="1"/>
        <v/>
      </c>
      <c r="M178" s="25" t="str">
        <f t="shared" si="2"/>
        <v/>
      </c>
      <c r="N178" s="25" t="str">
        <f t="shared" si="3"/>
        <v/>
      </c>
      <c r="O178" s="25" t="str">
        <f t="shared" si="4"/>
        <v/>
      </c>
      <c r="P178" s="26" t="str">
        <f t="shared" si="5"/>
        <v/>
      </c>
      <c r="Q178" s="25" t="str">
        <f t="shared" si="6"/>
        <v/>
      </c>
      <c r="R178" s="25" t="str">
        <f t="shared" si="7"/>
        <v/>
      </c>
    </row>
    <row r="179" ht="15.75" customHeight="1">
      <c r="C179" s="47"/>
      <c r="D179" s="47"/>
      <c r="E179" s="47"/>
      <c r="F179" s="47"/>
      <c r="G179" s="47"/>
      <c r="H179" s="47"/>
      <c r="J179" s="47"/>
      <c r="L179" s="25" t="str">
        <f t="shared" si="1"/>
        <v/>
      </c>
      <c r="M179" s="25" t="str">
        <f t="shared" si="2"/>
        <v/>
      </c>
      <c r="N179" s="25" t="str">
        <f t="shared" si="3"/>
        <v/>
      </c>
      <c r="O179" s="25" t="str">
        <f t="shared" si="4"/>
        <v/>
      </c>
      <c r="P179" s="26" t="str">
        <f t="shared" si="5"/>
        <v/>
      </c>
      <c r="Q179" s="25" t="str">
        <f t="shared" si="6"/>
        <v/>
      </c>
      <c r="R179" s="25" t="str">
        <f t="shared" si="7"/>
        <v/>
      </c>
    </row>
    <row r="180" ht="15.75" customHeight="1">
      <c r="C180" s="47"/>
      <c r="D180" s="47"/>
      <c r="E180" s="47"/>
      <c r="F180" s="47"/>
      <c r="G180" s="47"/>
      <c r="H180" s="47"/>
      <c r="J180" s="47"/>
      <c r="L180" s="25" t="str">
        <f t="shared" si="1"/>
        <v/>
      </c>
      <c r="M180" s="25" t="str">
        <f t="shared" si="2"/>
        <v/>
      </c>
      <c r="N180" s="25" t="str">
        <f t="shared" si="3"/>
        <v/>
      </c>
      <c r="O180" s="25" t="str">
        <f t="shared" si="4"/>
        <v/>
      </c>
      <c r="P180" s="26" t="str">
        <f t="shared" si="5"/>
        <v/>
      </c>
      <c r="Q180" s="25" t="str">
        <f t="shared" si="6"/>
        <v/>
      </c>
      <c r="R180" s="25" t="str">
        <f t="shared" si="7"/>
        <v/>
      </c>
    </row>
    <row r="181" ht="15.75" customHeight="1">
      <c r="C181" s="47"/>
      <c r="D181" s="47"/>
      <c r="E181" s="47"/>
      <c r="F181" s="47"/>
      <c r="G181" s="47"/>
      <c r="H181" s="47"/>
      <c r="J181" s="47"/>
      <c r="L181" s="25" t="str">
        <f t="shared" si="1"/>
        <v/>
      </c>
      <c r="M181" s="25" t="str">
        <f t="shared" si="2"/>
        <v/>
      </c>
      <c r="N181" s="25" t="str">
        <f t="shared" si="3"/>
        <v/>
      </c>
      <c r="O181" s="25" t="str">
        <f t="shared" si="4"/>
        <v/>
      </c>
      <c r="P181" s="26" t="str">
        <f t="shared" si="5"/>
        <v/>
      </c>
      <c r="Q181" s="25" t="str">
        <f t="shared" si="6"/>
        <v/>
      </c>
      <c r="R181" s="25" t="str">
        <f t="shared" si="7"/>
        <v/>
      </c>
    </row>
    <row r="182" ht="15.75" customHeight="1">
      <c r="C182" s="47"/>
      <c r="D182" s="47"/>
      <c r="E182" s="47"/>
      <c r="F182" s="47"/>
      <c r="G182" s="47"/>
      <c r="H182" s="47"/>
      <c r="J182" s="47"/>
      <c r="L182" s="25" t="str">
        <f t="shared" si="1"/>
        <v/>
      </c>
      <c r="M182" s="25" t="str">
        <f t="shared" si="2"/>
        <v/>
      </c>
      <c r="N182" s="25" t="str">
        <f t="shared" si="3"/>
        <v/>
      </c>
      <c r="O182" s="25" t="str">
        <f t="shared" si="4"/>
        <v/>
      </c>
      <c r="P182" s="26" t="str">
        <f t="shared" si="5"/>
        <v/>
      </c>
      <c r="Q182" s="25" t="str">
        <f t="shared" si="6"/>
        <v/>
      </c>
      <c r="R182" s="25" t="str">
        <f t="shared" si="7"/>
        <v/>
      </c>
    </row>
    <row r="183" ht="15.75" customHeight="1">
      <c r="C183" s="47"/>
      <c r="D183" s="47"/>
      <c r="E183" s="47"/>
      <c r="F183" s="47"/>
      <c r="G183" s="47"/>
      <c r="H183" s="47"/>
      <c r="J183" s="47"/>
      <c r="L183" s="25" t="str">
        <f t="shared" si="1"/>
        <v/>
      </c>
      <c r="M183" s="25" t="str">
        <f t="shared" si="2"/>
        <v/>
      </c>
      <c r="N183" s="25" t="str">
        <f t="shared" si="3"/>
        <v/>
      </c>
      <c r="O183" s="25" t="str">
        <f t="shared" si="4"/>
        <v/>
      </c>
      <c r="P183" s="26" t="str">
        <f t="shared" si="5"/>
        <v/>
      </c>
      <c r="Q183" s="25" t="str">
        <f t="shared" si="6"/>
        <v/>
      </c>
      <c r="R183" s="25" t="str">
        <f t="shared" si="7"/>
        <v/>
      </c>
    </row>
    <row r="184" ht="15.75" customHeight="1">
      <c r="C184" s="47"/>
      <c r="D184" s="47"/>
      <c r="E184" s="47"/>
      <c r="F184" s="47"/>
      <c r="G184" s="47"/>
      <c r="H184" s="47"/>
      <c r="J184" s="47"/>
      <c r="L184" s="25" t="str">
        <f t="shared" si="1"/>
        <v/>
      </c>
      <c r="M184" s="25" t="str">
        <f t="shared" si="2"/>
        <v/>
      </c>
      <c r="N184" s="25" t="str">
        <f t="shared" si="3"/>
        <v/>
      </c>
      <c r="O184" s="25" t="str">
        <f t="shared" si="4"/>
        <v/>
      </c>
      <c r="P184" s="26" t="str">
        <f t="shared" si="5"/>
        <v/>
      </c>
      <c r="Q184" s="25" t="str">
        <f t="shared" si="6"/>
        <v/>
      </c>
      <c r="R184" s="25" t="str">
        <f t="shared" si="7"/>
        <v/>
      </c>
    </row>
    <row r="185" ht="15.75" customHeight="1">
      <c r="C185" s="47"/>
      <c r="D185" s="47"/>
      <c r="E185" s="47"/>
      <c r="F185" s="47"/>
      <c r="G185" s="47"/>
      <c r="H185" s="47"/>
      <c r="J185" s="47"/>
      <c r="L185" s="25" t="str">
        <f t="shared" si="1"/>
        <v/>
      </c>
      <c r="M185" s="25" t="str">
        <f t="shared" si="2"/>
        <v/>
      </c>
      <c r="N185" s="25" t="str">
        <f t="shared" si="3"/>
        <v/>
      </c>
      <c r="O185" s="25" t="str">
        <f t="shared" si="4"/>
        <v/>
      </c>
      <c r="P185" s="26" t="str">
        <f t="shared" si="5"/>
        <v/>
      </c>
      <c r="Q185" s="25" t="str">
        <f t="shared" si="6"/>
        <v/>
      </c>
      <c r="R185" s="25" t="str">
        <f t="shared" si="7"/>
        <v/>
      </c>
    </row>
    <row r="186" ht="15.75" customHeight="1">
      <c r="C186" s="47"/>
      <c r="D186" s="47"/>
      <c r="E186" s="47"/>
      <c r="F186" s="47"/>
      <c r="G186" s="47"/>
      <c r="H186" s="47"/>
      <c r="J186" s="47"/>
      <c r="L186" s="25" t="str">
        <f t="shared" si="1"/>
        <v/>
      </c>
      <c r="M186" s="25" t="str">
        <f t="shared" si="2"/>
        <v/>
      </c>
      <c r="N186" s="25" t="str">
        <f t="shared" si="3"/>
        <v/>
      </c>
      <c r="O186" s="25" t="str">
        <f t="shared" si="4"/>
        <v/>
      </c>
      <c r="P186" s="26" t="str">
        <f t="shared" si="5"/>
        <v/>
      </c>
      <c r="Q186" s="25" t="str">
        <f t="shared" si="6"/>
        <v/>
      </c>
      <c r="R186" s="25" t="str">
        <f t="shared" si="7"/>
        <v/>
      </c>
    </row>
    <row r="187" ht="15.75" customHeight="1">
      <c r="C187" s="47"/>
      <c r="D187" s="47"/>
      <c r="E187" s="47"/>
      <c r="F187" s="47"/>
      <c r="G187" s="47"/>
      <c r="H187" s="47"/>
      <c r="J187" s="47"/>
      <c r="L187" s="25" t="str">
        <f t="shared" si="1"/>
        <v/>
      </c>
      <c r="M187" s="25" t="str">
        <f t="shared" si="2"/>
        <v/>
      </c>
      <c r="N187" s="25" t="str">
        <f t="shared" si="3"/>
        <v/>
      </c>
      <c r="O187" s="25" t="str">
        <f t="shared" si="4"/>
        <v/>
      </c>
      <c r="P187" s="26" t="str">
        <f t="shared" si="5"/>
        <v/>
      </c>
      <c r="Q187" s="25" t="str">
        <f t="shared" si="6"/>
        <v/>
      </c>
      <c r="R187" s="25" t="str">
        <f t="shared" si="7"/>
        <v/>
      </c>
    </row>
    <row r="188" ht="15.75" customHeight="1">
      <c r="C188" s="47"/>
      <c r="D188" s="47"/>
      <c r="E188" s="47"/>
      <c r="F188" s="47"/>
      <c r="G188" s="47"/>
      <c r="H188" s="47"/>
      <c r="J188" s="47"/>
      <c r="L188" s="25" t="str">
        <f t="shared" si="1"/>
        <v/>
      </c>
      <c r="M188" s="25" t="str">
        <f t="shared" si="2"/>
        <v/>
      </c>
      <c r="N188" s="25" t="str">
        <f t="shared" si="3"/>
        <v/>
      </c>
      <c r="O188" s="25" t="str">
        <f t="shared" si="4"/>
        <v/>
      </c>
      <c r="P188" s="26" t="str">
        <f t="shared" si="5"/>
        <v/>
      </c>
      <c r="Q188" s="25" t="str">
        <f t="shared" si="6"/>
        <v/>
      </c>
      <c r="R188" s="25" t="str">
        <f t="shared" si="7"/>
        <v/>
      </c>
    </row>
    <row r="189" ht="15.75" customHeight="1">
      <c r="C189" s="47"/>
      <c r="D189" s="47"/>
      <c r="E189" s="47"/>
      <c r="F189" s="47"/>
      <c r="G189" s="47"/>
      <c r="H189" s="47"/>
      <c r="J189" s="47"/>
      <c r="L189" s="25" t="str">
        <f t="shared" si="1"/>
        <v/>
      </c>
      <c r="M189" s="25" t="str">
        <f t="shared" si="2"/>
        <v/>
      </c>
      <c r="N189" s="25" t="str">
        <f t="shared" si="3"/>
        <v/>
      </c>
      <c r="O189" s="25" t="str">
        <f t="shared" si="4"/>
        <v/>
      </c>
      <c r="P189" s="26" t="str">
        <f t="shared" si="5"/>
        <v/>
      </c>
      <c r="Q189" s="25" t="str">
        <f t="shared" si="6"/>
        <v/>
      </c>
      <c r="R189" s="25" t="str">
        <f t="shared" si="7"/>
        <v/>
      </c>
    </row>
    <row r="190" ht="15.75" customHeight="1">
      <c r="C190" s="47"/>
      <c r="D190" s="47"/>
      <c r="E190" s="47"/>
      <c r="F190" s="47"/>
      <c r="G190" s="47"/>
      <c r="H190" s="47"/>
      <c r="J190" s="47"/>
      <c r="L190" s="25" t="str">
        <f t="shared" si="1"/>
        <v/>
      </c>
      <c r="M190" s="25" t="str">
        <f t="shared" si="2"/>
        <v/>
      </c>
      <c r="N190" s="25" t="str">
        <f t="shared" si="3"/>
        <v/>
      </c>
      <c r="O190" s="25" t="str">
        <f t="shared" si="4"/>
        <v/>
      </c>
      <c r="P190" s="26" t="str">
        <f t="shared" si="5"/>
        <v/>
      </c>
      <c r="Q190" s="25" t="str">
        <f t="shared" si="6"/>
        <v/>
      </c>
      <c r="R190" s="25" t="str">
        <f t="shared" si="7"/>
        <v/>
      </c>
    </row>
    <row r="191" ht="15.75" customHeight="1">
      <c r="C191" s="47"/>
      <c r="D191" s="47"/>
      <c r="E191" s="47"/>
      <c r="F191" s="47"/>
      <c r="G191" s="47"/>
      <c r="H191" s="47"/>
      <c r="J191" s="47"/>
      <c r="L191" s="25" t="str">
        <f t="shared" si="1"/>
        <v/>
      </c>
      <c r="M191" s="25" t="str">
        <f t="shared" si="2"/>
        <v/>
      </c>
      <c r="N191" s="25" t="str">
        <f t="shared" si="3"/>
        <v/>
      </c>
      <c r="O191" s="25" t="str">
        <f t="shared" si="4"/>
        <v/>
      </c>
      <c r="P191" s="26" t="str">
        <f t="shared" si="5"/>
        <v/>
      </c>
      <c r="Q191" s="25" t="str">
        <f t="shared" si="6"/>
        <v/>
      </c>
      <c r="R191" s="25" t="str">
        <f t="shared" si="7"/>
        <v/>
      </c>
    </row>
    <row r="192" ht="15.75" customHeight="1">
      <c r="C192" s="47"/>
      <c r="D192" s="47"/>
      <c r="E192" s="47"/>
      <c r="F192" s="47"/>
      <c r="G192" s="47"/>
      <c r="H192" s="47"/>
      <c r="J192" s="47"/>
      <c r="L192" s="25" t="str">
        <f t="shared" si="1"/>
        <v/>
      </c>
      <c r="M192" s="25" t="str">
        <f t="shared" si="2"/>
        <v/>
      </c>
      <c r="N192" s="25" t="str">
        <f t="shared" si="3"/>
        <v/>
      </c>
      <c r="O192" s="25" t="str">
        <f t="shared" si="4"/>
        <v/>
      </c>
      <c r="P192" s="26" t="str">
        <f t="shared" si="5"/>
        <v/>
      </c>
      <c r="Q192" s="25" t="str">
        <f t="shared" si="6"/>
        <v/>
      </c>
      <c r="R192" s="25" t="str">
        <f t="shared" si="7"/>
        <v/>
      </c>
    </row>
    <row r="193" ht="15.75" customHeight="1">
      <c r="C193" s="47"/>
      <c r="D193" s="47"/>
      <c r="E193" s="47"/>
      <c r="F193" s="47"/>
      <c r="G193" s="47"/>
      <c r="H193" s="47"/>
      <c r="J193" s="47"/>
      <c r="L193" s="25" t="str">
        <f t="shared" si="1"/>
        <v/>
      </c>
      <c r="M193" s="25" t="str">
        <f t="shared" si="2"/>
        <v/>
      </c>
      <c r="N193" s="25" t="str">
        <f t="shared" si="3"/>
        <v/>
      </c>
      <c r="O193" s="25" t="str">
        <f t="shared" si="4"/>
        <v/>
      </c>
      <c r="P193" s="26" t="str">
        <f t="shared" si="5"/>
        <v/>
      </c>
      <c r="Q193" s="25" t="str">
        <f t="shared" si="6"/>
        <v/>
      </c>
      <c r="R193" s="25" t="str">
        <f t="shared" si="7"/>
        <v/>
      </c>
    </row>
    <row r="194" ht="15.75" customHeight="1">
      <c r="C194" s="47"/>
      <c r="D194" s="47"/>
      <c r="E194" s="47"/>
      <c r="F194" s="47"/>
      <c r="G194" s="47"/>
      <c r="H194" s="47"/>
      <c r="J194" s="47"/>
      <c r="L194" s="25" t="str">
        <f t="shared" si="1"/>
        <v/>
      </c>
      <c r="M194" s="25" t="str">
        <f t="shared" si="2"/>
        <v/>
      </c>
      <c r="N194" s="25" t="str">
        <f t="shared" si="3"/>
        <v/>
      </c>
      <c r="O194" s="25" t="str">
        <f t="shared" si="4"/>
        <v/>
      </c>
      <c r="P194" s="26" t="str">
        <f t="shared" si="5"/>
        <v/>
      </c>
      <c r="Q194" s="25" t="str">
        <f t="shared" si="6"/>
        <v/>
      </c>
      <c r="R194" s="25" t="str">
        <f t="shared" si="7"/>
        <v/>
      </c>
    </row>
    <row r="195" ht="15.75" customHeight="1">
      <c r="C195" s="47"/>
      <c r="D195" s="47"/>
      <c r="E195" s="47"/>
      <c r="F195" s="47"/>
      <c r="G195" s="47"/>
      <c r="H195" s="47"/>
      <c r="J195" s="47"/>
      <c r="L195" s="25" t="str">
        <f t="shared" si="1"/>
        <v/>
      </c>
      <c r="M195" s="25" t="str">
        <f t="shared" si="2"/>
        <v/>
      </c>
      <c r="N195" s="25" t="str">
        <f t="shared" si="3"/>
        <v/>
      </c>
      <c r="O195" s="25" t="str">
        <f t="shared" si="4"/>
        <v/>
      </c>
      <c r="P195" s="26" t="str">
        <f t="shared" si="5"/>
        <v/>
      </c>
      <c r="Q195" s="25" t="str">
        <f t="shared" si="6"/>
        <v/>
      </c>
      <c r="R195" s="25" t="str">
        <f t="shared" si="7"/>
        <v/>
      </c>
    </row>
    <row r="196" ht="15.75" customHeight="1">
      <c r="C196" s="47"/>
      <c r="D196" s="47"/>
      <c r="E196" s="47"/>
      <c r="F196" s="47"/>
      <c r="G196" s="47"/>
      <c r="H196" s="47"/>
      <c r="J196" s="47"/>
      <c r="L196" s="25" t="str">
        <f t="shared" si="1"/>
        <v/>
      </c>
      <c r="M196" s="25" t="str">
        <f t="shared" si="2"/>
        <v/>
      </c>
      <c r="N196" s="25" t="str">
        <f t="shared" si="3"/>
        <v/>
      </c>
      <c r="O196" s="25" t="str">
        <f t="shared" si="4"/>
        <v/>
      </c>
      <c r="P196" s="26" t="str">
        <f t="shared" si="5"/>
        <v/>
      </c>
      <c r="Q196" s="25" t="str">
        <f t="shared" si="6"/>
        <v/>
      </c>
      <c r="R196" s="25" t="str">
        <f t="shared" si="7"/>
        <v/>
      </c>
    </row>
    <row r="197" ht="15.75" customHeight="1">
      <c r="C197" s="47"/>
      <c r="D197" s="47"/>
      <c r="E197" s="47"/>
      <c r="F197" s="47"/>
      <c r="G197" s="47"/>
      <c r="H197" s="47"/>
      <c r="J197" s="47"/>
      <c r="L197" s="25" t="str">
        <f t="shared" si="1"/>
        <v/>
      </c>
      <c r="M197" s="25" t="str">
        <f t="shared" si="2"/>
        <v/>
      </c>
      <c r="N197" s="25" t="str">
        <f t="shared" si="3"/>
        <v/>
      </c>
      <c r="O197" s="25" t="str">
        <f t="shared" si="4"/>
        <v/>
      </c>
      <c r="P197" s="26" t="str">
        <f t="shared" si="5"/>
        <v/>
      </c>
      <c r="Q197" s="25" t="str">
        <f t="shared" si="6"/>
        <v/>
      </c>
      <c r="R197" s="25" t="str">
        <f t="shared" si="7"/>
        <v/>
      </c>
    </row>
    <row r="198" ht="15.75" customHeight="1">
      <c r="C198" s="47"/>
      <c r="D198" s="47"/>
      <c r="E198" s="47"/>
      <c r="F198" s="47"/>
      <c r="G198" s="47"/>
      <c r="H198" s="47"/>
      <c r="J198" s="47"/>
      <c r="L198" s="25" t="str">
        <f t="shared" si="1"/>
        <v/>
      </c>
      <c r="M198" s="25" t="str">
        <f t="shared" si="2"/>
        <v/>
      </c>
      <c r="N198" s="25" t="str">
        <f t="shared" si="3"/>
        <v/>
      </c>
      <c r="O198" s="25" t="str">
        <f t="shared" si="4"/>
        <v/>
      </c>
      <c r="P198" s="26" t="str">
        <f t="shared" si="5"/>
        <v/>
      </c>
      <c r="Q198" s="25" t="str">
        <f t="shared" si="6"/>
        <v/>
      </c>
      <c r="R198" s="25" t="str">
        <f t="shared" si="7"/>
        <v/>
      </c>
    </row>
    <row r="199" ht="15.75" customHeight="1">
      <c r="C199" s="47"/>
      <c r="D199" s="47"/>
      <c r="E199" s="47"/>
      <c r="F199" s="47"/>
      <c r="G199" s="47"/>
      <c r="H199" s="47"/>
      <c r="J199" s="47"/>
      <c r="L199" s="25" t="str">
        <f t="shared" si="1"/>
        <v/>
      </c>
      <c r="M199" s="25" t="str">
        <f t="shared" si="2"/>
        <v/>
      </c>
      <c r="N199" s="25" t="str">
        <f t="shared" si="3"/>
        <v/>
      </c>
      <c r="O199" s="25" t="str">
        <f t="shared" si="4"/>
        <v/>
      </c>
      <c r="P199" s="26" t="str">
        <f t="shared" si="5"/>
        <v/>
      </c>
      <c r="Q199" s="25" t="str">
        <f t="shared" si="6"/>
        <v/>
      </c>
      <c r="R199" s="25" t="str">
        <f t="shared" si="7"/>
        <v/>
      </c>
    </row>
    <row r="200" ht="15.75" customHeight="1">
      <c r="C200" s="47"/>
      <c r="D200" s="47"/>
      <c r="E200" s="47"/>
      <c r="F200" s="47"/>
      <c r="G200" s="47"/>
      <c r="H200" s="47"/>
      <c r="J200" s="47"/>
      <c r="L200" s="25" t="str">
        <f t="shared" si="1"/>
        <v/>
      </c>
      <c r="M200" s="25" t="str">
        <f t="shared" si="2"/>
        <v/>
      </c>
      <c r="N200" s="25" t="str">
        <f t="shared" si="3"/>
        <v/>
      </c>
      <c r="O200" s="25" t="str">
        <f t="shared" si="4"/>
        <v/>
      </c>
      <c r="P200" s="26" t="str">
        <f t="shared" si="5"/>
        <v/>
      </c>
      <c r="Q200" s="25" t="str">
        <f t="shared" si="6"/>
        <v/>
      </c>
      <c r="R200" s="25" t="str">
        <f t="shared" si="7"/>
        <v/>
      </c>
    </row>
    <row r="201" ht="15.75" customHeight="1">
      <c r="C201" s="47"/>
      <c r="D201" s="47"/>
      <c r="E201" s="47"/>
      <c r="F201" s="47"/>
      <c r="G201" s="47"/>
      <c r="H201" s="47"/>
      <c r="J201" s="47"/>
      <c r="L201" s="25" t="str">
        <f t="shared" si="1"/>
        <v/>
      </c>
      <c r="M201" s="25" t="str">
        <f t="shared" si="2"/>
        <v/>
      </c>
      <c r="N201" s="25" t="str">
        <f t="shared" si="3"/>
        <v/>
      </c>
      <c r="O201" s="25" t="str">
        <f t="shared" si="4"/>
        <v/>
      </c>
      <c r="P201" s="26" t="str">
        <f t="shared" si="5"/>
        <v/>
      </c>
      <c r="Q201" s="25" t="str">
        <f t="shared" si="6"/>
        <v/>
      </c>
      <c r="R201" s="25" t="str">
        <f t="shared" si="7"/>
        <v/>
      </c>
    </row>
    <row r="202" ht="15.75" customHeight="1">
      <c r="C202" s="47"/>
      <c r="D202" s="47"/>
      <c r="E202" s="47"/>
      <c r="F202" s="47"/>
      <c r="G202" s="47"/>
      <c r="H202" s="47"/>
      <c r="J202" s="47"/>
      <c r="L202" s="25" t="str">
        <f t="shared" si="1"/>
        <v/>
      </c>
      <c r="M202" s="25" t="str">
        <f t="shared" si="2"/>
        <v/>
      </c>
      <c r="N202" s="25" t="str">
        <f t="shared" si="3"/>
        <v/>
      </c>
      <c r="O202" s="25" t="str">
        <f t="shared" si="4"/>
        <v/>
      </c>
      <c r="P202" s="26" t="str">
        <f t="shared" si="5"/>
        <v/>
      </c>
      <c r="Q202" s="25" t="str">
        <f t="shared" si="6"/>
        <v/>
      </c>
      <c r="R202" s="25" t="str">
        <f t="shared" si="7"/>
        <v/>
      </c>
    </row>
    <row r="203" ht="15.75" customHeight="1">
      <c r="C203" s="47"/>
      <c r="D203" s="47"/>
      <c r="E203" s="47"/>
      <c r="F203" s="47"/>
      <c r="G203" s="47"/>
      <c r="H203" s="47"/>
      <c r="J203" s="47"/>
      <c r="L203" s="25" t="str">
        <f t="shared" si="1"/>
        <v/>
      </c>
      <c r="M203" s="25" t="str">
        <f t="shared" si="2"/>
        <v/>
      </c>
      <c r="N203" s="25" t="str">
        <f t="shared" si="3"/>
        <v/>
      </c>
      <c r="O203" s="25" t="str">
        <f t="shared" si="4"/>
        <v/>
      </c>
      <c r="P203" s="26" t="str">
        <f t="shared" si="5"/>
        <v/>
      </c>
      <c r="Q203" s="25" t="str">
        <f t="shared" si="6"/>
        <v/>
      </c>
      <c r="R203" s="25" t="str">
        <f t="shared" si="7"/>
        <v/>
      </c>
    </row>
    <row r="204" ht="15.75" customHeight="1">
      <c r="C204" s="47"/>
      <c r="D204" s="47"/>
      <c r="E204" s="47"/>
      <c r="F204" s="47"/>
      <c r="G204" s="47"/>
      <c r="H204" s="47"/>
      <c r="J204" s="47"/>
      <c r="L204" s="25" t="str">
        <f t="shared" si="1"/>
        <v/>
      </c>
      <c r="M204" s="25" t="str">
        <f t="shared" si="2"/>
        <v/>
      </c>
      <c r="N204" s="25" t="str">
        <f t="shared" si="3"/>
        <v/>
      </c>
      <c r="O204" s="25" t="str">
        <f t="shared" si="4"/>
        <v/>
      </c>
      <c r="P204" s="26" t="str">
        <f t="shared" si="5"/>
        <v/>
      </c>
      <c r="Q204" s="25" t="str">
        <f t="shared" si="6"/>
        <v/>
      </c>
      <c r="R204" s="25" t="str">
        <f t="shared" si="7"/>
        <v/>
      </c>
    </row>
    <row r="205" ht="15.75" customHeight="1">
      <c r="C205" s="47"/>
      <c r="D205" s="47"/>
      <c r="E205" s="47"/>
      <c r="F205" s="47"/>
      <c r="G205" s="47"/>
      <c r="H205" s="47"/>
      <c r="J205" s="47"/>
      <c r="L205" s="25" t="str">
        <f t="shared" si="1"/>
        <v/>
      </c>
      <c r="M205" s="25" t="str">
        <f t="shared" si="2"/>
        <v/>
      </c>
      <c r="N205" s="25" t="str">
        <f t="shared" si="3"/>
        <v/>
      </c>
      <c r="O205" s="25" t="str">
        <f t="shared" si="4"/>
        <v/>
      </c>
      <c r="P205" s="26" t="str">
        <f t="shared" si="5"/>
        <v/>
      </c>
      <c r="Q205" s="25" t="str">
        <f t="shared" si="6"/>
        <v/>
      </c>
      <c r="R205" s="25" t="str">
        <f t="shared" si="7"/>
        <v/>
      </c>
    </row>
    <row r="206" ht="15.75" customHeight="1">
      <c r="C206" s="47"/>
      <c r="D206" s="47"/>
      <c r="E206" s="47"/>
      <c r="F206" s="47"/>
      <c r="G206" s="47"/>
      <c r="H206" s="47"/>
      <c r="J206" s="47"/>
      <c r="L206" s="25" t="str">
        <f t="shared" si="1"/>
        <v/>
      </c>
      <c r="M206" s="25" t="str">
        <f t="shared" si="2"/>
        <v/>
      </c>
      <c r="N206" s="25" t="str">
        <f t="shared" si="3"/>
        <v/>
      </c>
      <c r="O206" s="25" t="str">
        <f t="shared" si="4"/>
        <v/>
      </c>
      <c r="P206" s="26" t="str">
        <f t="shared" si="5"/>
        <v/>
      </c>
      <c r="Q206" s="25" t="str">
        <f t="shared" si="6"/>
        <v/>
      </c>
      <c r="R206" s="25" t="str">
        <f t="shared" si="7"/>
        <v/>
      </c>
    </row>
    <row r="207" ht="15.75" customHeight="1">
      <c r="C207" s="47"/>
      <c r="D207" s="47"/>
      <c r="E207" s="47"/>
      <c r="F207" s="47"/>
      <c r="G207" s="47"/>
      <c r="H207" s="47"/>
      <c r="J207" s="47"/>
      <c r="L207" s="25" t="str">
        <f t="shared" si="1"/>
        <v/>
      </c>
      <c r="M207" s="25" t="str">
        <f t="shared" si="2"/>
        <v/>
      </c>
      <c r="N207" s="25" t="str">
        <f t="shared" si="3"/>
        <v/>
      </c>
      <c r="O207" s="25" t="str">
        <f t="shared" si="4"/>
        <v/>
      </c>
      <c r="P207" s="26" t="str">
        <f t="shared" si="5"/>
        <v/>
      </c>
      <c r="Q207" s="25" t="str">
        <f t="shared" si="6"/>
        <v/>
      </c>
      <c r="R207" s="25" t="str">
        <f t="shared" si="7"/>
        <v/>
      </c>
    </row>
    <row r="208" ht="15.75" customHeight="1">
      <c r="C208" s="47"/>
      <c r="D208" s="47"/>
      <c r="E208" s="47"/>
      <c r="F208" s="47"/>
      <c r="G208" s="47"/>
      <c r="H208" s="47"/>
      <c r="J208" s="47"/>
      <c r="L208" s="25" t="str">
        <f t="shared" si="1"/>
        <v/>
      </c>
      <c r="M208" s="25" t="str">
        <f t="shared" si="2"/>
        <v/>
      </c>
      <c r="N208" s="25" t="str">
        <f t="shared" si="3"/>
        <v/>
      </c>
      <c r="O208" s="25" t="str">
        <f t="shared" si="4"/>
        <v/>
      </c>
      <c r="P208" s="26" t="str">
        <f t="shared" si="5"/>
        <v/>
      </c>
      <c r="Q208" s="25" t="str">
        <f t="shared" si="6"/>
        <v/>
      </c>
      <c r="R208" s="25" t="str">
        <f t="shared" si="7"/>
        <v/>
      </c>
    </row>
    <row r="209" ht="15.75" customHeight="1">
      <c r="C209" s="47"/>
      <c r="D209" s="47"/>
      <c r="E209" s="47"/>
      <c r="F209" s="47"/>
      <c r="G209" s="47"/>
      <c r="H209" s="47"/>
      <c r="J209" s="47"/>
      <c r="L209" s="25" t="str">
        <f t="shared" si="1"/>
        <v/>
      </c>
      <c r="M209" s="25" t="str">
        <f t="shared" si="2"/>
        <v/>
      </c>
      <c r="N209" s="25" t="str">
        <f t="shared" si="3"/>
        <v/>
      </c>
      <c r="O209" s="25" t="str">
        <f t="shared" si="4"/>
        <v/>
      </c>
      <c r="P209" s="26" t="str">
        <f t="shared" si="5"/>
        <v/>
      </c>
      <c r="Q209" s="25" t="str">
        <f t="shared" si="6"/>
        <v/>
      </c>
      <c r="R209" s="25" t="str">
        <f t="shared" si="7"/>
        <v/>
      </c>
    </row>
    <row r="210" ht="15.75" customHeight="1">
      <c r="C210" s="47"/>
      <c r="D210" s="47"/>
      <c r="E210" s="47"/>
      <c r="F210" s="47"/>
      <c r="G210" s="47"/>
      <c r="H210" s="47"/>
      <c r="J210" s="47"/>
      <c r="L210" s="25" t="str">
        <f t="shared" si="1"/>
        <v/>
      </c>
      <c r="M210" s="25" t="str">
        <f t="shared" si="2"/>
        <v/>
      </c>
      <c r="N210" s="25" t="str">
        <f t="shared" si="3"/>
        <v/>
      </c>
      <c r="O210" s="25" t="str">
        <f t="shared" si="4"/>
        <v/>
      </c>
      <c r="P210" s="26" t="str">
        <f t="shared" si="5"/>
        <v/>
      </c>
      <c r="Q210" s="25" t="str">
        <f t="shared" si="6"/>
        <v/>
      </c>
      <c r="R210" s="25" t="str">
        <f t="shared" si="7"/>
        <v/>
      </c>
    </row>
    <row r="211" ht="15.75" customHeight="1">
      <c r="C211" s="47"/>
      <c r="D211" s="47"/>
      <c r="E211" s="47"/>
      <c r="F211" s="47"/>
      <c r="G211" s="47"/>
      <c r="H211" s="47"/>
      <c r="J211" s="47"/>
      <c r="L211" s="25" t="str">
        <f t="shared" si="1"/>
        <v/>
      </c>
      <c r="M211" s="25" t="str">
        <f t="shared" si="2"/>
        <v/>
      </c>
      <c r="N211" s="25" t="str">
        <f t="shared" si="3"/>
        <v/>
      </c>
      <c r="O211" s="25" t="str">
        <f t="shared" si="4"/>
        <v/>
      </c>
      <c r="P211" s="26" t="str">
        <f t="shared" si="5"/>
        <v/>
      </c>
      <c r="Q211" s="25" t="str">
        <f t="shared" si="6"/>
        <v/>
      </c>
      <c r="R211" s="25" t="str">
        <f t="shared" si="7"/>
        <v/>
      </c>
    </row>
    <row r="212" ht="15.75" customHeight="1">
      <c r="C212" s="47"/>
      <c r="D212" s="47"/>
      <c r="E212" s="47"/>
      <c r="F212" s="47"/>
      <c r="G212" s="47"/>
      <c r="H212" s="47"/>
      <c r="J212" s="47"/>
      <c r="L212" s="25" t="str">
        <f t="shared" si="1"/>
        <v/>
      </c>
      <c r="M212" s="25" t="str">
        <f t="shared" si="2"/>
        <v/>
      </c>
      <c r="N212" s="25" t="str">
        <f t="shared" si="3"/>
        <v/>
      </c>
      <c r="O212" s="25" t="str">
        <f t="shared" si="4"/>
        <v/>
      </c>
      <c r="P212" s="26" t="str">
        <f t="shared" si="5"/>
        <v/>
      </c>
      <c r="Q212" s="25" t="str">
        <f t="shared" si="6"/>
        <v/>
      </c>
      <c r="R212" s="25" t="str">
        <f t="shared" si="7"/>
        <v/>
      </c>
    </row>
    <row r="213" ht="15.75" customHeight="1">
      <c r="C213" s="47"/>
      <c r="D213" s="47"/>
      <c r="E213" s="47"/>
      <c r="F213" s="47"/>
      <c r="G213" s="47"/>
      <c r="H213" s="47"/>
      <c r="J213" s="47"/>
      <c r="L213" s="25" t="str">
        <f t="shared" si="1"/>
        <v/>
      </c>
      <c r="M213" s="25" t="str">
        <f t="shared" si="2"/>
        <v/>
      </c>
      <c r="N213" s="25" t="str">
        <f t="shared" si="3"/>
        <v/>
      </c>
      <c r="O213" s="25" t="str">
        <f t="shared" si="4"/>
        <v/>
      </c>
      <c r="P213" s="26" t="str">
        <f t="shared" si="5"/>
        <v/>
      </c>
      <c r="Q213" s="25" t="str">
        <f t="shared" si="6"/>
        <v/>
      </c>
      <c r="R213" s="25" t="str">
        <f t="shared" si="7"/>
        <v/>
      </c>
    </row>
    <row r="214" ht="15.75" customHeight="1">
      <c r="C214" s="47"/>
      <c r="D214" s="47"/>
      <c r="E214" s="47"/>
      <c r="F214" s="47"/>
      <c r="G214" s="47"/>
      <c r="H214" s="47"/>
      <c r="J214" s="47"/>
      <c r="L214" s="25" t="str">
        <f t="shared" si="1"/>
        <v/>
      </c>
      <c r="M214" s="25" t="str">
        <f t="shared" si="2"/>
        <v/>
      </c>
      <c r="N214" s="25" t="str">
        <f t="shared" si="3"/>
        <v/>
      </c>
      <c r="O214" s="25" t="str">
        <f t="shared" si="4"/>
        <v/>
      </c>
      <c r="P214" s="26" t="str">
        <f t="shared" si="5"/>
        <v/>
      </c>
      <c r="Q214" s="25" t="str">
        <f t="shared" si="6"/>
        <v/>
      </c>
      <c r="R214" s="25" t="str">
        <f t="shared" si="7"/>
        <v/>
      </c>
    </row>
    <row r="215" ht="15.75" customHeight="1">
      <c r="C215" s="47"/>
      <c r="D215" s="47"/>
      <c r="E215" s="47"/>
      <c r="F215" s="47"/>
      <c r="G215" s="47"/>
      <c r="H215" s="47"/>
      <c r="J215" s="47"/>
      <c r="L215" s="25" t="str">
        <f t="shared" si="1"/>
        <v/>
      </c>
      <c r="M215" s="25" t="str">
        <f t="shared" si="2"/>
        <v/>
      </c>
      <c r="N215" s="25" t="str">
        <f t="shared" si="3"/>
        <v/>
      </c>
      <c r="O215" s="25" t="str">
        <f t="shared" si="4"/>
        <v/>
      </c>
      <c r="P215" s="26" t="str">
        <f t="shared" si="5"/>
        <v/>
      </c>
      <c r="Q215" s="25" t="str">
        <f t="shared" si="6"/>
        <v/>
      </c>
      <c r="R215" s="25" t="str">
        <f t="shared" si="7"/>
        <v/>
      </c>
    </row>
    <row r="216" ht="15.75" customHeight="1">
      <c r="C216" s="47"/>
      <c r="D216" s="47"/>
      <c r="E216" s="47"/>
      <c r="F216" s="47"/>
      <c r="G216" s="47"/>
      <c r="H216" s="47"/>
      <c r="J216" s="47"/>
      <c r="L216" s="25" t="str">
        <f t="shared" si="1"/>
        <v/>
      </c>
      <c r="M216" s="25" t="str">
        <f t="shared" si="2"/>
        <v/>
      </c>
      <c r="N216" s="25" t="str">
        <f t="shared" si="3"/>
        <v/>
      </c>
      <c r="O216" s="25" t="str">
        <f t="shared" si="4"/>
        <v/>
      </c>
      <c r="P216" s="26" t="str">
        <f t="shared" si="5"/>
        <v/>
      </c>
      <c r="Q216" s="25" t="str">
        <f t="shared" si="6"/>
        <v/>
      </c>
      <c r="R216" s="25" t="str">
        <f t="shared" si="7"/>
        <v/>
      </c>
    </row>
    <row r="217" ht="15.75" customHeight="1">
      <c r="C217" s="47"/>
      <c r="D217" s="47"/>
      <c r="E217" s="47"/>
      <c r="F217" s="47"/>
      <c r="G217" s="47"/>
      <c r="H217" s="47"/>
      <c r="J217" s="47"/>
      <c r="L217" s="25" t="str">
        <f t="shared" si="1"/>
        <v/>
      </c>
      <c r="M217" s="25" t="str">
        <f t="shared" si="2"/>
        <v/>
      </c>
      <c r="N217" s="25" t="str">
        <f t="shared" si="3"/>
        <v/>
      </c>
      <c r="O217" s="25" t="str">
        <f t="shared" si="4"/>
        <v/>
      </c>
      <c r="P217" s="26" t="str">
        <f t="shared" si="5"/>
        <v/>
      </c>
      <c r="Q217" s="25" t="str">
        <f t="shared" si="6"/>
        <v/>
      </c>
      <c r="R217" s="25" t="str">
        <f t="shared" si="7"/>
        <v/>
      </c>
    </row>
    <row r="218" ht="15.75" customHeight="1">
      <c r="C218" s="47"/>
      <c r="D218" s="47"/>
      <c r="E218" s="47"/>
      <c r="F218" s="47"/>
      <c r="G218" s="47"/>
      <c r="H218" s="47"/>
      <c r="J218" s="47"/>
      <c r="L218" s="25" t="str">
        <f t="shared" si="1"/>
        <v/>
      </c>
      <c r="M218" s="25" t="str">
        <f t="shared" si="2"/>
        <v/>
      </c>
      <c r="N218" s="25" t="str">
        <f t="shared" si="3"/>
        <v/>
      </c>
      <c r="O218" s="25" t="str">
        <f t="shared" si="4"/>
        <v/>
      </c>
      <c r="P218" s="26" t="str">
        <f t="shared" si="5"/>
        <v/>
      </c>
      <c r="Q218" s="25" t="str">
        <f t="shared" si="6"/>
        <v/>
      </c>
      <c r="R218" s="25" t="str">
        <f t="shared" si="7"/>
        <v/>
      </c>
    </row>
    <row r="219" ht="15.75" customHeight="1">
      <c r="C219" s="47"/>
      <c r="D219" s="47"/>
      <c r="E219" s="47"/>
      <c r="F219" s="47"/>
      <c r="G219" s="47"/>
      <c r="H219" s="47"/>
      <c r="J219" s="47"/>
      <c r="L219" s="25" t="str">
        <f t="shared" si="1"/>
        <v/>
      </c>
      <c r="M219" s="25" t="str">
        <f t="shared" si="2"/>
        <v/>
      </c>
      <c r="N219" s="25" t="str">
        <f t="shared" si="3"/>
        <v/>
      </c>
      <c r="O219" s="25" t="str">
        <f t="shared" si="4"/>
        <v/>
      </c>
      <c r="P219" s="26" t="str">
        <f t="shared" si="5"/>
        <v/>
      </c>
      <c r="Q219" s="25" t="str">
        <f t="shared" si="6"/>
        <v/>
      </c>
      <c r="R219" s="25" t="str">
        <f t="shared" si="7"/>
        <v/>
      </c>
    </row>
    <row r="220" ht="15.75" customHeight="1">
      <c r="C220" s="47"/>
      <c r="D220" s="47"/>
      <c r="E220" s="47"/>
      <c r="F220" s="47"/>
      <c r="G220" s="47"/>
      <c r="H220" s="47"/>
      <c r="J220" s="47"/>
      <c r="L220" s="25" t="str">
        <f t="shared" si="1"/>
        <v/>
      </c>
      <c r="M220" s="25" t="str">
        <f t="shared" si="2"/>
        <v/>
      </c>
      <c r="N220" s="25" t="str">
        <f t="shared" si="3"/>
        <v/>
      </c>
      <c r="O220" s="25" t="str">
        <f t="shared" si="4"/>
        <v/>
      </c>
      <c r="P220" s="26" t="str">
        <f t="shared" si="5"/>
        <v/>
      </c>
      <c r="Q220" s="25" t="str">
        <f t="shared" si="6"/>
        <v/>
      </c>
      <c r="R220" s="25" t="str">
        <f t="shared" si="7"/>
        <v/>
      </c>
    </row>
    <row r="221" ht="15.75" customHeight="1">
      <c r="C221" s="47"/>
      <c r="D221" s="47"/>
      <c r="E221" s="47"/>
      <c r="F221" s="47"/>
      <c r="G221" s="47"/>
      <c r="H221" s="47"/>
      <c r="J221" s="47"/>
      <c r="L221" s="25" t="str">
        <f t="shared" si="1"/>
        <v/>
      </c>
      <c r="M221" s="25" t="str">
        <f t="shared" si="2"/>
        <v/>
      </c>
      <c r="N221" s="25" t="str">
        <f t="shared" si="3"/>
        <v/>
      </c>
      <c r="O221" s="25" t="str">
        <f t="shared" si="4"/>
        <v/>
      </c>
      <c r="P221" s="26" t="str">
        <f t="shared" si="5"/>
        <v/>
      </c>
      <c r="Q221" s="25" t="str">
        <f t="shared" si="6"/>
        <v/>
      </c>
      <c r="R221" s="25" t="str">
        <f t="shared" si="7"/>
        <v/>
      </c>
    </row>
    <row r="222" ht="15.75" customHeight="1">
      <c r="C222" s="47"/>
      <c r="D222" s="47"/>
      <c r="E222" s="47"/>
      <c r="F222" s="47"/>
      <c r="G222" s="47"/>
      <c r="H222" s="47"/>
      <c r="J222" s="47"/>
      <c r="L222" s="25" t="str">
        <f t="shared" si="1"/>
        <v/>
      </c>
      <c r="M222" s="25" t="str">
        <f t="shared" si="2"/>
        <v/>
      </c>
      <c r="N222" s="25" t="str">
        <f t="shared" si="3"/>
        <v/>
      </c>
      <c r="O222" s="25" t="str">
        <f t="shared" si="4"/>
        <v/>
      </c>
      <c r="P222" s="26" t="str">
        <f t="shared" si="5"/>
        <v/>
      </c>
      <c r="Q222" s="25" t="str">
        <f t="shared" si="6"/>
        <v/>
      </c>
      <c r="R222" s="25" t="str">
        <f t="shared" si="7"/>
        <v/>
      </c>
    </row>
    <row r="223" ht="15.75" customHeight="1">
      <c r="C223" s="47"/>
      <c r="D223" s="47"/>
      <c r="E223" s="47"/>
      <c r="F223" s="47"/>
      <c r="G223" s="47"/>
      <c r="H223" s="47"/>
      <c r="J223" s="47"/>
      <c r="L223" s="25" t="str">
        <f t="shared" si="1"/>
        <v/>
      </c>
      <c r="M223" s="25" t="str">
        <f t="shared" si="2"/>
        <v/>
      </c>
      <c r="N223" s="25" t="str">
        <f t="shared" si="3"/>
        <v/>
      </c>
      <c r="O223" s="25" t="str">
        <f t="shared" si="4"/>
        <v/>
      </c>
      <c r="P223" s="26" t="str">
        <f t="shared" si="5"/>
        <v/>
      </c>
      <c r="Q223" s="25" t="str">
        <f t="shared" si="6"/>
        <v/>
      </c>
      <c r="R223" s="25" t="str">
        <f t="shared" si="7"/>
        <v/>
      </c>
    </row>
    <row r="224" ht="15.75" customHeight="1">
      <c r="C224" s="47"/>
      <c r="D224" s="47"/>
      <c r="E224" s="47"/>
      <c r="F224" s="47"/>
      <c r="G224" s="47"/>
      <c r="H224" s="47"/>
      <c r="J224" s="47"/>
      <c r="L224" s="25" t="str">
        <f t="shared" si="1"/>
        <v/>
      </c>
      <c r="M224" s="25" t="str">
        <f t="shared" si="2"/>
        <v/>
      </c>
      <c r="N224" s="25" t="str">
        <f t="shared" si="3"/>
        <v/>
      </c>
      <c r="O224" s="25" t="str">
        <f t="shared" si="4"/>
        <v/>
      </c>
      <c r="P224" s="26" t="str">
        <f t="shared" si="5"/>
        <v/>
      </c>
      <c r="Q224" s="25" t="str">
        <f t="shared" si="6"/>
        <v/>
      </c>
      <c r="R224" s="25" t="str">
        <f t="shared" si="7"/>
        <v/>
      </c>
    </row>
    <row r="225" ht="15.75" customHeight="1">
      <c r="C225" s="47"/>
      <c r="D225" s="47"/>
      <c r="E225" s="47"/>
      <c r="F225" s="47"/>
      <c r="G225" s="47"/>
      <c r="H225" s="47"/>
      <c r="J225" s="47"/>
      <c r="L225" s="25" t="str">
        <f t="shared" si="1"/>
        <v/>
      </c>
      <c r="M225" s="25" t="str">
        <f t="shared" si="2"/>
        <v/>
      </c>
      <c r="N225" s="25" t="str">
        <f t="shared" si="3"/>
        <v/>
      </c>
      <c r="O225" s="25" t="str">
        <f t="shared" si="4"/>
        <v/>
      </c>
      <c r="P225" s="26" t="str">
        <f t="shared" si="5"/>
        <v/>
      </c>
      <c r="Q225" s="25" t="str">
        <f t="shared" si="6"/>
        <v/>
      </c>
      <c r="R225" s="25" t="str">
        <f t="shared" si="7"/>
        <v/>
      </c>
    </row>
    <row r="226" ht="15.75" customHeight="1">
      <c r="C226" s="47"/>
      <c r="D226" s="47"/>
      <c r="E226" s="47"/>
      <c r="F226" s="47"/>
      <c r="G226" s="47"/>
      <c r="H226" s="47"/>
      <c r="J226" s="47"/>
      <c r="L226" s="25" t="str">
        <f t="shared" si="1"/>
        <v/>
      </c>
      <c r="M226" s="25" t="str">
        <f t="shared" si="2"/>
        <v/>
      </c>
      <c r="N226" s="25" t="str">
        <f t="shared" si="3"/>
        <v/>
      </c>
      <c r="O226" s="25" t="str">
        <f t="shared" si="4"/>
        <v/>
      </c>
      <c r="P226" s="26" t="str">
        <f t="shared" si="5"/>
        <v/>
      </c>
      <c r="Q226" s="25" t="str">
        <f t="shared" si="6"/>
        <v/>
      </c>
      <c r="R226" s="25" t="str">
        <f t="shared" si="7"/>
        <v/>
      </c>
    </row>
    <row r="227" ht="15.75" customHeight="1">
      <c r="C227" s="47"/>
      <c r="D227" s="47"/>
      <c r="E227" s="47"/>
      <c r="F227" s="47"/>
      <c r="G227" s="47"/>
      <c r="H227" s="47"/>
      <c r="J227" s="47"/>
      <c r="L227" s="25" t="str">
        <f t="shared" si="1"/>
        <v/>
      </c>
      <c r="M227" s="25" t="str">
        <f t="shared" si="2"/>
        <v/>
      </c>
      <c r="N227" s="25" t="str">
        <f t="shared" si="3"/>
        <v/>
      </c>
      <c r="O227" s="25" t="str">
        <f t="shared" si="4"/>
        <v/>
      </c>
      <c r="P227" s="26" t="str">
        <f t="shared" si="5"/>
        <v/>
      </c>
      <c r="Q227" s="25" t="str">
        <f t="shared" si="6"/>
        <v/>
      </c>
      <c r="R227" s="25" t="str">
        <f t="shared" si="7"/>
        <v/>
      </c>
    </row>
    <row r="228" ht="15.75" customHeight="1">
      <c r="C228" s="47"/>
      <c r="D228" s="47"/>
      <c r="E228" s="47"/>
      <c r="F228" s="47"/>
      <c r="G228" s="47"/>
      <c r="H228" s="47"/>
      <c r="J228" s="47"/>
      <c r="L228" s="25" t="str">
        <f t="shared" si="1"/>
        <v/>
      </c>
      <c r="M228" s="25" t="str">
        <f t="shared" si="2"/>
        <v/>
      </c>
      <c r="N228" s="25" t="str">
        <f t="shared" si="3"/>
        <v/>
      </c>
      <c r="O228" s="25" t="str">
        <f t="shared" si="4"/>
        <v/>
      </c>
      <c r="P228" s="26" t="str">
        <f t="shared" si="5"/>
        <v/>
      </c>
      <c r="Q228" s="25" t="str">
        <f t="shared" si="6"/>
        <v/>
      </c>
      <c r="R228" s="25" t="str">
        <f t="shared" si="7"/>
        <v/>
      </c>
    </row>
    <row r="229" ht="15.75" customHeight="1">
      <c r="C229" s="47"/>
      <c r="D229" s="47"/>
      <c r="E229" s="47"/>
      <c r="F229" s="47"/>
      <c r="G229" s="47"/>
      <c r="H229" s="47"/>
      <c r="J229" s="47"/>
      <c r="L229" s="25" t="str">
        <f t="shared" si="1"/>
        <v/>
      </c>
      <c r="M229" s="25" t="str">
        <f t="shared" si="2"/>
        <v/>
      </c>
      <c r="N229" s="25" t="str">
        <f t="shared" si="3"/>
        <v/>
      </c>
      <c r="O229" s="25" t="str">
        <f t="shared" si="4"/>
        <v/>
      </c>
      <c r="P229" s="26" t="str">
        <f t="shared" si="5"/>
        <v/>
      </c>
      <c r="Q229" s="25" t="str">
        <f t="shared" si="6"/>
        <v/>
      </c>
      <c r="R229" s="25" t="str">
        <f t="shared" si="7"/>
        <v/>
      </c>
    </row>
    <row r="230" ht="15.75" customHeight="1">
      <c r="C230" s="47"/>
      <c r="D230" s="47"/>
      <c r="E230" s="47"/>
      <c r="F230" s="47"/>
      <c r="G230" s="47"/>
      <c r="H230" s="47"/>
      <c r="J230" s="47"/>
      <c r="L230" s="25" t="str">
        <f t="shared" si="1"/>
        <v/>
      </c>
      <c r="M230" s="25" t="str">
        <f t="shared" si="2"/>
        <v/>
      </c>
      <c r="N230" s="25" t="str">
        <f t="shared" si="3"/>
        <v/>
      </c>
      <c r="O230" s="25" t="str">
        <f t="shared" si="4"/>
        <v/>
      </c>
      <c r="P230" s="26" t="str">
        <f t="shared" si="5"/>
        <v/>
      </c>
      <c r="Q230" s="25" t="str">
        <f t="shared" si="6"/>
        <v/>
      </c>
      <c r="R230" s="25" t="str">
        <f t="shared" si="7"/>
        <v/>
      </c>
    </row>
    <row r="231" ht="15.75" customHeight="1">
      <c r="C231" s="47"/>
      <c r="D231" s="47"/>
      <c r="E231" s="47"/>
      <c r="F231" s="47"/>
      <c r="G231" s="47"/>
      <c r="H231" s="47"/>
      <c r="J231" s="47"/>
      <c r="L231" s="25" t="str">
        <f t="shared" si="1"/>
        <v/>
      </c>
      <c r="M231" s="25" t="str">
        <f t="shared" si="2"/>
        <v/>
      </c>
      <c r="N231" s="25" t="str">
        <f t="shared" si="3"/>
        <v/>
      </c>
      <c r="O231" s="25" t="str">
        <f t="shared" si="4"/>
        <v/>
      </c>
      <c r="P231" s="26" t="str">
        <f t="shared" si="5"/>
        <v/>
      </c>
      <c r="Q231" s="25" t="str">
        <f t="shared" si="6"/>
        <v/>
      </c>
      <c r="R231" s="25" t="str">
        <f t="shared" si="7"/>
        <v/>
      </c>
    </row>
    <row r="232" ht="15.75" customHeight="1">
      <c r="C232" s="47"/>
      <c r="D232" s="47"/>
      <c r="E232" s="47"/>
      <c r="F232" s="47"/>
      <c r="G232" s="47"/>
      <c r="H232" s="47"/>
      <c r="J232" s="47"/>
      <c r="L232" s="25" t="str">
        <f t="shared" si="1"/>
        <v/>
      </c>
      <c r="M232" s="25" t="str">
        <f t="shared" si="2"/>
        <v/>
      </c>
      <c r="N232" s="25" t="str">
        <f t="shared" si="3"/>
        <v/>
      </c>
      <c r="O232" s="25" t="str">
        <f t="shared" si="4"/>
        <v/>
      </c>
      <c r="P232" s="26" t="str">
        <f t="shared" si="5"/>
        <v/>
      </c>
      <c r="Q232" s="25" t="str">
        <f t="shared" si="6"/>
        <v/>
      </c>
      <c r="R232" s="25" t="str">
        <f t="shared" si="7"/>
        <v/>
      </c>
    </row>
    <row r="233" ht="15.75" customHeight="1">
      <c r="C233" s="47"/>
      <c r="D233" s="47"/>
      <c r="E233" s="47"/>
      <c r="F233" s="47"/>
      <c r="G233" s="47"/>
      <c r="H233" s="47"/>
      <c r="J233" s="47"/>
      <c r="L233" s="25" t="str">
        <f t="shared" si="1"/>
        <v/>
      </c>
      <c r="M233" s="25" t="str">
        <f t="shared" si="2"/>
        <v/>
      </c>
      <c r="N233" s="25" t="str">
        <f t="shared" si="3"/>
        <v/>
      </c>
      <c r="O233" s="25" t="str">
        <f t="shared" si="4"/>
        <v/>
      </c>
      <c r="P233" s="26" t="str">
        <f t="shared" si="5"/>
        <v/>
      </c>
      <c r="Q233" s="25" t="str">
        <f t="shared" si="6"/>
        <v/>
      </c>
      <c r="R233" s="25" t="str">
        <f t="shared" si="7"/>
        <v/>
      </c>
    </row>
    <row r="234" ht="15.75" customHeight="1">
      <c r="C234" s="47"/>
      <c r="D234" s="47"/>
      <c r="E234" s="47"/>
      <c r="F234" s="47"/>
      <c r="G234" s="47"/>
      <c r="H234" s="47"/>
      <c r="J234" s="47"/>
      <c r="L234" s="25" t="str">
        <f t="shared" si="1"/>
        <v/>
      </c>
      <c r="M234" s="25" t="str">
        <f t="shared" si="2"/>
        <v/>
      </c>
      <c r="N234" s="25" t="str">
        <f t="shared" si="3"/>
        <v/>
      </c>
      <c r="O234" s="25" t="str">
        <f t="shared" si="4"/>
        <v/>
      </c>
      <c r="P234" s="26" t="str">
        <f t="shared" si="5"/>
        <v/>
      </c>
      <c r="Q234" s="25" t="str">
        <f t="shared" si="6"/>
        <v/>
      </c>
      <c r="R234" s="25" t="str">
        <f t="shared" si="7"/>
        <v/>
      </c>
    </row>
    <row r="235" ht="15.75" customHeight="1">
      <c r="C235" s="47"/>
      <c r="D235" s="47"/>
      <c r="E235" s="47"/>
      <c r="F235" s="47"/>
      <c r="G235" s="47"/>
      <c r="H235" s="47"/>
      <c r="J235" s="47"/>
      <c r="L235" s="25" t="str">
        <f t="shared" si="1"/>
        <v/>
      </c>
      <c r="M235" s="25" t="str">
        <f t="shared" si="2"/>
        <v/>
      </c>
      <c r="N235" s="25" t="str">
        <f t="shared" si="3"/>
        <v/>
      </c>
      <c r="O235" s="25" t="str">
        <f t="shared" si="4"/>
        <v/>
      </c>
      <c r="P235" s="26" t="str">
        <f t="shared" si="5"/>
        <v/>
      </c>
      <c r="Q235" s="25" t="str">
        <f t="shared" si="6"/>
        <v/>
      </c>
      <c r="R235" s="25" t="str">
        <f t="shared" si="7"/>
        <v/>
      </c>
    </row>
    <row r="236" ht="15.75" customHeight="1">
      <c r="C236" s="47"/>
      <c r="D236" s="47"/>
      <c r="E236" s="47"/>
      <c r="F236" s="47"/>
      <c r="G236" s="47"/>
      <c r="H236" s="47"/>
      <c r="J236" s="47"/>
      <c r="L236" s="25" t="str">
        <f t="shared" si="1"/>
        <v/>
      </c>
      <c r="M236" s="25" t="str">
        <f t="shared" si="2"/>
        <v/>
      </c>
      <c r="N236" s="25" t="str">
        <f t="shared" si="3"/>
        <v/>
      </c>
      <c r="O236" s="25" t="str">
        <f t="shared" si="4"/>
        <v/>
      </c>
      <c r="P236" s="26" t="str">
        <f t="shared" si="5"/>
        <v/>
      </c>
      <c r="Q236" s="25" t="str">
        <f t="shared" si="6"/>
        <v/>
      </c>
      <c r="R236" s="25" t="str">
        <f t="shared" si="7"/>
        <v/>
      </c>
    </row>
    <row r="237" ht="15.75" customHeight="1">
      <c r="C237" s="47"/>
      <c r="D237" s="47"/>
      <c r="E237" s="47"/>
      <c r="F237" s="47"/>
      <c r="G237" s="47"/>
      <c r="H237" s="47"/>
      <c r="J237" s="47"/>
      <c r="L237" s="25" t="str">
        <f t="shared" si="1"/>
        <v/>
      </c>
      <c r="M237" s="25" t="str">
        <f t="shared" si="2"/>
        <v/>
      </c>
      <c r="N237" s="25" t="str">
        <f t="shared" si="3"/>
        <v/>
      </c>
      <c r="O237" s="25" t="str">
        <f t="shared" si="4"/>
        <v/>
      </c>
      <c r="P237" s="26" t="str">
        <f t="shared" si="5"/>
        <v/>
      </c>
      <c r="Q237" s="25" t="str">
        <f t="shared" si="6"/>
        <v/>
      </c>
      <c r="R237" s="25" t="str">
        <f t="shared" si="7"/>
        <v/>
      </c>
    </row>
    <row r="238" ht="15.75" customHeight="1">
      <c r="C238" s="47"/>
      <c r="D238" s="47"/>
      <c r="E238" s="47"/>
      <c r="F238" s="47"/>
      <c r="G238" s="47"/>
      <c r="H238" s="47"/>
      <c r="J238" s="47"/>
      <c r="L238" s="25" t="str">
        <f t="shared" si="1"/>
        <v/>
      </c>
      <c r="M238" s="25" t="str">
        <f t="shared" si="2"/>
        <v/>
      </c>
      <c r="N238" s="25" t="str">
        <f t="shared" si="3"/>
        <v/>
      </c>
      <c r="O238" s="25" t="str">
        <f t="shared" si="4"/>
        <v/>
      </c>
      <c r="P238" s="26" t="str">
        <f t="shared" si="5"/>
        <v/>
      </c>
      <c r="Q238" s="25" t="str">
        <f t="shared" si="6"/>
        <v/>
      </c>
      <c r="R238" s="25" t="str">
        <f t="shared" si="7"/>
        <v/>
      </c>
    </row>
    <row r="239" ht="15.75" customHeight="1">
      <c r="C239" s="47"/>
      <c r="D239" s="47"/>
      <c r="E239" s="47"/>
      <c r="F239" s="47"/>
      <c r="G239" s="47"/>
      <c r="H239" s="47"/>
      <c r="J239" s="47"/>
      <c r="L239" s="25" t="str">
        <f t="shared" si="1"/>
        <v/>
      </c>
      <c r="M239" s="25" t="str">
        <f t="shared" si="2"/>
        <v/>
      </c>
      <c r="N239" s="25" t="str">
        <f t="shared" si="3"/>
        <v/>
      </c>
      <c r="O239" s="25" t="str">
        <f t="shared" si="4"/>
        <v/>
      </c>
      <c r="P239" s="26" t="str">
        <f t="shared" si="5"/>
        <v/>
      </c>
      <c r="Q239" s="25" t="str">
        <f t="shared" si="6"/>
        <v/>
      </c>
      <c r="R239" s="25" t="str">
        <f t="shared" si="7"/>
        <v/>
      </c>
    </row>
    <row r="240" ht="15.75" customHeight="1">
      <c r="C240" s="47"/>
      <c r="D240" s="47"/>
      <c r="E240" s="47"/>
      <c r="F240" s="47"/>
      <c r="G240" s="47"/>
      <c r="H240" s="47"/>
      <c r="J240" s="47"/>
      <c r="L240" s="25" t="str">
        <f t="shared" si="1"/>
        <v/>
      </c>
      <c r="M240" s="25" t="str">
        <f t="shared" si="2"/>
        <v/>
      </c>
      <c r="N240" s="25" t="str">
        <f t="shared" si="3"/>
        <v/>
      </c>
      <c r="O240" s="25" t="str">
        <f t="shared" si="4"/>
        <v/>
      </c>
      <c r="P240" s="26" t="str">
        <f t="shared" si="5"/>
        <v/>
      </c>
      <c r="Q240" s="25" t="str">
        <f t="shared" si="6"/>
        <v/>
      </c>
      <c r="R240" s="25" t="str">
        <f t="shared" si="7"/>
        <v/>
      </c>
    </row>
    <row r="241" ht="15.75" customHeight="1">
      <c r="C241" s="47"/>
      <c r="D241" s="47"/>
      <c r="E241" s="47"/>
      <c r="F241" s="47"/>
      <c r="G241" s="47"/>
      <c r="H241" s="47"/>
      <c r="J241" s="47"/>
      <c r="L241" s="25" t="str">
        <f t="shared" si="1"/>
        <v/>
      </c>
      <c r="M241" s="25" t="str">
        <f t="shared" si="2"/>
        <v/>
      </c>
      <c r="N241" s="25" t="str">
        <f t="shared" si="3"/>
        <v/>
      </c>
      <c r="O241" s="25" t="str">
        <f t="shared" si="4"/>
        <v/>
      </c>
      <c r="P241" s="26" t="str">
        <f t="shared" si="5"/>
        <v/>
      </c>
      <c r="Q241" s="25" t="str">
        <f t="shared" si="6"/>
        <v/>
      </c>
      <c r="R241" s="25" t="str">
        <f t="shared" si="7"/>
        <v/>
      </c>
    </row>
    <row r="242" ht="15.75" customHeight="1">
      <c r="C242" s="47"/>
      <c r="D242" s="47"/>
      <c r="E242" s="47"/>
      <c r="F242" s="47"/>
      <c r="G242" s="47"/>
      <c r="H242" s="47"/>
      <c r="J242" s="47"/>
      <c r="L242" s="25" t="str">
        <f t="shared" si="1"/>
        <v/>
      </c>
      <c r="M242" s="25" t="str">
        <f t="shared" si="2"/>
        <v/>
      </c>
      <c r="N242" s="25" t="str">
        <f t="shared" si="3"/>
        <v/>
      </c>
      <c r="O242" s="25" t="str">
        <f t="shared" si="4"/>
        <v/>
      </c>
      <c r="P242" s="26" t="str">
        <f t="shared" si="5"/>
        <v/>
      </c>
      <c r="Q242" s="25" t="str">
        <f t="shared" si="6"/>
        <v/>
      </c>
      <c r="R242" s="25" t="str">
        <f t="shared" si="7"/>
        <v/>
      </c>
    </row>
    <row r="243" ht="15.75" customHeight="1">
      <c r="C243" s="47"/>
      <c r="D243" s="47"/>
      <c r="E243" s="47"/>
      <c r="F243" s="47"/>
      <c r="G243" s="47"/>
      <c r="H243" s="47"/>
      <c r="J243" s="47"/>
      <c r="L243" s="25" t="str">
        <f t="shared" si="1"/>
        <v/>
      </c>
      <c r="M243" s="25" t="str">
        <f t="shared" si="2"/>
        <v/>
      </c>
      <c r="N243" s="25" t="str">
        <f t="shared" si="3"/>
        <v/>
      </c>
      <c r="O243" s="25" t="str">
        <f t="shared" si="4"/>
        <v/>
      </c>
      <c r="P243" s="26" t="str">
        <f t="shared" si="5"/>
        <v/>
      </c>
      <c r="Q243" s="25" t="str">
        <f t="shared" si="6"/>
        <v/>
      </c>
      <c r="R243" s="25" t="str">
        <f t="shared" si="7"/>
        <v/>
      </c>
    </row>
    <row r="244" ht="15.75" customHeight="1">
      <c r="C244" s="47"/>
      <c r="D244" s="47"/>
      <c r="E244" s="47"/>
      <c r="F244" s="47"/>
      <c r="G244" s="47"/>
      <c r="H244" s="47"/>
      <c r="J244" s="47"/>
      <c r="L244" s="25" t="str">
        <f t="shared" si="1"/>
        <v/>
      </c>
      <c r="M244" s="25" t="str">
        <f t="shared" si="2"/>
        <v/>
      </c>
      <c r="N244" s="25" t="str">
        <f t="shared" si="3"/>
        <v/>
      </c>
      <c r="O244" s="25" t="str">
        <f t="shared" si="4"/>
        <v/>
      </c>
      <c r="P244" s="26" t="str">
        <f t="shared" si="5"/>
        <v/>
      </c>
      <c r="Q244" s="25" t="str">
        <f t="shared" si="6"/>
        <v/>
      </c>
      <c r="R244" s="25" t="str">
        <f t="shared" si="7"/>
        <v/>
      </c>
    </row>
    <row r="245" ht="15.75" customHeight="1">
      <c r="C245" s="47"/>
      <c r="D245" s="47"/>
      <c r="E245" s="47"/>
      <c r="F245" s="47"/>
      <c r="G245" s="47"/>
      <c r="H245" s="47"/>
      <c r="J245" s="47"/>
      <c r="L245" s="25" t="str">
        <f t="shared" si="1"/>
        <v/>
      </c>
      <c r="M245" s="25" t="str">
        <f t="shared" si="2"/>
        <v/>
      </c>
      <c r="N245" s="25" t="str">
        <f t="shared" si="3"/>
        <v/>
      </c>
      <c r="O245" s="25" t="str">
        <f t="shared" si="4"/>
        <v/>
      </c>
      <c r="P245" s="26" t="str">
        <f t="shared" si="5"/>
        <v/>
      </c>
      <c r="Q245" s="25" t="str">
        <f t="shared" si="6"/>
        <v/>
      </c>
      <c r="R245" s="25" t="str">
        <f t="shared" si="7"/>
        <v/>
      </c>
    </row>
    <row r="246" ht="15.75" customHeight="1">
      <c r="C246" s="47"/>
      <c r="D246" s="47"/>
      <c r="E246" s="47"/>
      <c r="F246" s="47"/>
      <c r="G246" s="47"/>
      <c r="H246" s="47"/>
      <c r="J246" s="47"/>
      <c r="L246" s="25" t="str">
        <f t="shared" si="1"/>
        <v/>
      </c>
      <c r="M246" s="25" t="str">
        <f t="shared" si="2"/>
        <v/>
      </c>
      <c r="N246" s="25" t="str">
        <f t="shared" si="3"/>
        <v/>
      </c>
      <c r="O246" s="25" t="str">
        <f t="shared" si="4"/>
        <v/>
      </c>
      <c r="P246" s="26" t="str">
        <f t="shared" si="5"/>
        <v/>
      </c>
      <c r="Q246" s="25" t="str">
        <f t="shared" si="6"/>
        <v/>
      </c>
      <c r="R246" s="25" t="str">
        <f t="shared" si="7"/>
        <v/>
      </c>
    </row>
    <row r="247" ht="15.75" customHeight="1">
      <c r="C247" s="47"/>
      <c r="D247" s="47"/>
      <c r="E247" s="47"/>
      <c r="F247" s="47"/>
      <c r="G247" s="47"/>
      <c r="H247" s="47"/>
      <c r="J247" s="47"/>
      <c r="L247" s="25" t="str">
        <f t="shared" si="1"/>
        <v/>
      </c>
      <c r="M247" s="25" t="str">
        <f t="shared" si="2"/>
        <v/>
      </c>
      <c r="N247" s="25" t="str">
        <f t="shared" si="3"/>
        <v/>
      </c>
      <c r="O247" s="25" t="str">
        <f t="shared" si="4"/>
        <v/>
      </c>
      <c r="P247" s="26" t="str">
        <f t="shared" si="5"/>
        <v/>
      </c>
      <c r="Q247" s="25" t="str">
        <f t="shared" si="6"/>
        <v/>
      </c>
      <c r="R247" s="25" t="str">
        <f t="shared" si="7"/>
        <v/>
      </c>
    </row>
    <row r="248" ht="15.75" customHeight="1">
      <c r="C248" s="47"/>
      <c r="D248" s="47"/>
      <c r="E248" s="47"/>
      <c r="F248" s="47"/>
      <c r="G248" s="47"/>
      <c r="H248" s="47"/>
      <c r="J248" s="47"/>
      <c r="L248" s="25" t="str">
        <f t="shared" si="1"/>
        <v/>
      </c>
      <c r="M248" s="25" t="str">
        <f t="shared" si="2"/>
        <v/>
      </c>
      <c r="N248" s="25" t="str">
        <f t="shared" si="3"/>
        <v/>
      </c>
      <c r="O248" s="25" t="str">
        <f t="shared" si="4"/>
        <v/>
      </c>
      <c r="P248" s="26" t="str">
        <f t="shared" si="5"/>
        <v/>
      </c>
      <c r="Q248" s="25" t="str">
        <f t="shared" si="6"/>
        <v/>
      </c>
      <c r="R248" s="25" t="str">
        <f t="shared" si="7"/>
        <v/>
      </c>
    </row>
    <row r="249" ht="15.75" customHeight="1">
      <c r="C249" s="47"/>
      <c r="D249" s="47"/>
      <c r="E249" s="47"/>
      <c r="F249" s="47"/>
      <c r="G249" s="47"/>
      <c r="H249" s="47"/>
      <c r="J249" s="47"/>
      <c r="L249" s="25" t="str">
        <f t="shared" si="1"/>
        <v/>
      </c>
      <c r="M249" s="25" t="str">
        <f t="shared" si="2"/>
        <v/>
      </c>
      <c r="N249" s="25" t="str">
        <f t="shared" si="3"/>
        <v/>
      </c>
      <c r="O249" s="25" t="str">
        <f t="shared" si="4"/>
        <v/>
      </c>
      <c r="P249" s="26" t="str">
        <f t="shared" si="5"/>
        <v/>
      </c>
      <c r="Q249" s="25" t="str">
        <f t="shared" si="6"/>
        <v/>
      </c>
      <c r="R249" s="25" t="str">
        <f t="shared" si="7"/>
        <v/>
      </c>
    </row>
    <row r="250" ht="15.75" customHeight="1">
      <c r="C250" s="47"/>
      <c r="D250" s="47"/>
      <c r="E250" s="47"/>
      <c r="F250" s="47"/>
      <c r="G250" s="47"/>
      <c r="H250" s="47"/>
      <c r="J250" s="47"/>
      <c r="L250" s="25" t="str">
        <f t="shared" si="1"/>
        <v/>
      </c>
      <c r="M250" s="25" t="str">
        <f t="shared" si="2"/>
        <v/>
      </c>
      <c r="N250" s="25" t="str">
        <f t="shared" si="3"/>
        <v/>
      </c>
      <c r="O250" s="25" t="str">
        <f t="shared" si="4"/>
        <v/>
      </c>
      <c r="P250" s="26" t="str">
        <f t="shared" si="5"/>
        <v/>
      </c>
      <c r="Q250" s="25" t="str">
        <f t="shared" si="6"/>
        <v/>
      </c>
      <c r="R250" s="25" t="str">
        <f t="shared" si="7"/>
        <v/>
      </c>
    </row>
    <row r="251" ht="15.75" customHeight="1">
      <c r="C251" s="47"/>
      <c r="D251" s="47"/>
      <c r="E251" s="47"/>
      <c r="F251" s="47"/>
      <c r="G251" s="47"/>
      <c r="H251" s="47"/>
      <c r="J251" s="47"/>
      <c r="L251" s="25" t="str">
        <f t="shared" si="1"/>
        <v/>
      </c>
      <c r="M251" s="25" t="str">
        <f t="shared" si="2"/>
        <v/>
      </c>
      <c r="N251" s="25" t="str">
        <f t="shared" si="3"/>
        <v/>
      </c>
      <c r="O251" s="25" t="str">
        <f t="shared" si="4"/>
        <v/>
      </c>
      <c r="P251" s="26" t="str">
        <f t="shared" si="5"/>
        <v/>
      </c>
      <c r="Q251" s="25" t="str">
        <f t="shared" si="6"/>
        <v/>
      </c>
      <c r="R251" s="25" t="str">
        <f t="shared" si="7"/>
        <v/>
      </c>
    </row>
    <row r="252" ht="15.75" customHeight="1">
      <c r="C252" s="47"/>
      <c r="D252" s="47"/>
      <c r="E252" s="47"/>
      <c r="F252" s="47"/>
      <c r="G252" s="47"/>
      <c r="H252" s="47"/>
      <c r="J252" s="47"/>
      <c r="L252" s="25" t="str">
        <f t="shared" si="1"/>
        <v/>
      </c>
      <c r="M252" s="25" t="str">
        <f t="shared" si="2"/>
        <v/>
      </c>
      <c r="N252" s="25" t="str">
        <f t="shared" si="3"/>
        <v/>
      </c>
      <c r="O252" s="25" t="str">
        <f t="shared" si="4"/>
        <v/>
      </c>
      <c r="P252" s="26" t="str">
        <f t="shared" si="5"/>
        <v/>
      </c>
      <c r="Q252" s="25" t="str">
        <f t="shared" si="6"/>
        <v/>
      </c>
      <c r="R252" s="25" t="str">
        <f t="shared" si="7"/>
        <v/>
      </c>
    </row>
    <row r="253" ht="15.75" customHeight="1">
      <c r="C253" s="47"/>
      <c r="D253" s="47"/>
      <c r="E253" s="47"/>
      <c r="F253" s="47"/>
      <c r="G253" s="47"/>
      <c r="H253" s="47"/>
      <c r="J253" s="47"/>
      <c r="L253" s="25" t="str">
        <f t="shared" si="1"/>
        <v/>
      </c>
      <c r="M253" s="25" t="str">
        <f t="shared" si="2"/>
        <v/>
      </c>
      <c r="N253" s="25" t="str">
        <f t="shared" si="3"/>
        <v/>
      </c>
      <c r="O253" s="25" t="str">
        <f t="shared" si="4"/>
        <v/>
      </c>
      <c r="P253" s="26" t="str">
        <f t="shared" si="5"/>
        <v/>
      </c>
      <c r="Q253" s="25" t="str">
        <f t="shared" si="6"/>
        <v/>
      </c>
      <c r="R253" s="25" t="str">
        <f t="shared" si="7"/>
        <v/>
      </c>
    </row>
    <row r="254" ht="15.75" customHeight="1">
      <c r="C254" s="47"/>
      <c r="D254" s="47"/>
      <c r="E254" s="47"/>
      <c r="F254" s="47"/>
      <c r="G254" s="47"/>
      <c r="H254" s="47"/>
      <c r="J254" s="47"/>
      <c r="L254" s="25" t="str">
        <f t="shared" si="1"/>
        <v/>
      </c>
      <c r="M254" s="25" t="str">
        <f t="shared" si="2"/>
        <v/>
      </c>
      <c r="N254" s="25" t="str">
        <f t="shared" si="3"/>
        <v/>
      </c>
      <c r="O254" s="25" t="str">
        <f t="shared" si="4"/>
        <v/>
      </c>
      <c r="P254" s="26" t="str">
        <f t="shared" si="5"/>
        <v/>
      </c>
      <c r="Q254" s="25" t="str">
        <f t="shared" si="6"/>
        <v/>
      </c>
      <c r="R254" s="25" t="str">
        <f t="shared" si="7"/>
        <v/>
      </c>
    </row>
    <row r="255" ht="15.75" customHeight="1">
      <c r="C255" s="47"/>
      <c r="D255" s="47"/>
      <c r="E255" s="47"/>
      <c r="F255" s="47"/>
      <c r="G255" s="47"/>
      <c r="H255" s="47"/>
      <c r="J255" s="47"/>
      <c r="L255" s="25" t="str">
        <f t="shared" si="1"/>
        <v/>
      </c>
      <c r="M255" s="25" t="str">
        <f t="shared" si="2"/>
        <v/>
      </c>
      <c r="N255" s="25" t="str">
        <f t="shared" si="3"/>
        <v/>
      </c>
      <c r="O255" s="25" t="str">
        <f t="shared" si="4"/>
        <v/>
      </c>
      <c r="P255" s="26" t="str">
        <f t="shared" si="5"/>
        <v/>
      </c>
      <c r="Q255" s="25" t="str">
        <f t="shared" si="6"/>
        <v/>
      </c>
      <c r="R255" s="25" t="str">
        <f t="shared" si="7"/>
        <v/>
      </c>
    </row>
    <row r="256" ht="15.75" customHeight="1">
      <c r="C256" s="47"/>
      <c r="D256" s="47"/>
      <c r="E256" s="47"/>
      <c r="F256" s="47"/>
      <c r="G256" s="47"/>
      <c r="H256" s="47"/>
      <c r="J256" s="47"/>
      <c r="L256" s="25" t="str">
        <f t="shared" si="1"/>
        <v/>
      </c>
      <c r="M256" s="25" t="str">
        <f t="shared" si="2"/>
        <v/>
      </c>
      <c r="N256" s="25" t="str">
        <f t="shared" si="3"/>
        <v/>
      </c>
      <c r="O256" s="25" t="str">
        <f t="shared" si="4"/>
        <v/>
      </c>
      <c r="P256" s="26" t="str">
        <f t="shared" si="5"/>
        <v/>
      </c>
      <c r="Q256" s="25" t="str">
        <f t="shared" si="6"/>
        <v/>
      </c>
      <c r="R256" s="25" t="str">
        <f t="shared" si="7"/>
        <v/>
      </c>
    </row>
    <row r="257" ht="15.75" customHeight="1">
      <c r="C257" s="47"/>
      <c r="D257" s="47"/>
      <c r="E257" s="47"/>
      <c r="F257" s="47"/>
      <c r="G257" s="47"/>
      <c r="H257" s="47"/>
      <c r="J257" s="47"/>
      <c r="L257" s="25" t="str">
        <f t="shared" si="1"/>
        <v/>
      </c>
      <c r="M257" s="25" t="str">
        <f t="shared" si="2"/>
        <v/>
      </c>
      <c r="N257" s="25" t="str">
        <f t="shared" si="3"/>
        <v/>
      </c>
      <c r="O257" s="25" t="str">
        <f t="shared" si="4"/>
        <v/>
      </c>
      <c r="P257" s="26" t="str">
        <f t="shared" si="5"/>
        <v/>
      </c>
      <c r="Q257" s="25" t="str">
        <f t="shared" si="6"/>
        <v/>
      </c>
      <c r="R257" s="25" t="str">
        <f t="shared" si="7"/>
        <v/>
      </c>
    </row>
    <row r="258" ht="15.75" customHeight="1">
      <c r="C258" s="47"/>
      <c r="D258" s="47"/>
      <c r="E258" s="47"/>
      <c r="F258" s="47"/>
      <c r="G258" s="47"/>
      <c r="H258" s="47"/>
      <c r="J258" s="47"/>
      <c r="L258" s="25" t="str">
        <f t="shared" si="1"/>
        <v/>
      </c>
      <c r="M258" s="25" t="str">
        <f t="shared" si="2"/>
        <v/>
      </c>
      <c r="N258" s="25" t="str">
        <f t="shared" si="3"/>
        <v/>
      </c>
      <c r="O258" s="25" t="str">
        <f t="shared" si="4"/>
        <v/>
      </c>
      <c r="P258" s="26" t="str">
        <f t="shared" si="5"/>
        <v/>
      </c>
      <c r="Q258" s="25" t="str">
        <f t="shared" si="6"/>
        <v/>
      </c>
      <c r="R258" s="25" t="str">
        <f t="shared" si="7"/>
        <v/>
      </c>
    </row>
    <row r="259" ht="15.75" customHeight="1">
      <c r="C259" s="47"/>
      <c r="D259" s="47"/>
      <c r="E259" s="47"/>
      <c r="F259" s="47"/>
      <c r="G259" s="47"/>
      <c r="H259" s="47"/>
      <c r="J259" s="47"/>
      <c r="L259" s="25" t="str">
        <f t="shared" si="1"/>
        <v/>
      </c>
      <c r="M259" s="25" t="str">
        <f t="shared" si="2"/>
        <v/>
      </c>
      <c r="N259" s="25" t="str">
        <f t="shared" si="3"/>
        <v/>
      </c>
      <c r="O259" s="25" t="str">
        <f t="shared" si="4"/>
        <v/>
      </c>
      <c r="P259" s="26" t="str">
        <f t="shared" si="5"/>
        <v/>
      </c>
      <c r="Q259" s="25" t="str">
        <f t="shared" si="6"/>
        <v/>
      </c>
      <c r="R259" s="25" t="str">
        <f t="shared" si="7"/>
        <v/>
      </c>
    </row>
    <row r="260" ht="15.75" customHeight="1">
      <c r="C260" s="47"/>
      <c r="D260" s="47"/>
      <c r="E260" s="47"/>
      <c r="F260" s="47"/>
      <c r="G260" s="47"/>
      <c r="H260" s="47"/>
      <c r="J260" s="47"/>
      <c r="L260" s="25" t="str">
        <f t="shared" si="1"/>
        <v/>
      </c>
      <c r="M260" s="25" t="str">
        <f t="shared" si="2"/>
        <v/>
      </c>
      <c r="N260" s="25" t="str">
        <f t="shared" si="3"/>
        <v/>
      </c>
      <c r="O260" s="25" t="str">
        <f t="shared" si="4"/>
        <v/>
      </c>
      <c r="P260" s="26" t="str">
        <f t="shared" si="5"/>
        <v/>
      </c>
      <c r="Q260" s="25" t="str">
        <f t="shared" si="6"/>
        <v/>
      </c>
      <c r="R260" s="25" t="str">
        <f t="shared" si="7"/>
        <v/>
      </c>
    </row>
    <row r="261" ht="15.75" customHeight="1">
      <c r="C261" s="47"/>
      <c r="D261" s="47"/>
      <c r="E261" s="47"/>
      <c r="F261" s="47"/>
      <c r="G261" s="47"/>
      <c r="H261" s="47"/>
      <c r="J261" s="47"/>
      <c r="L261" s="25" t="str">
        <f t="shared" si="1"/>
        <v/>
      </c>
      <c r="M261" s="25" t="str">
        <f t="shared" si="2"/>
        <v/>
      </c>
      <c r="N261" s="25" t="str">
        <f t="shared" si="3"/>
        <v/>
      </c>
      <c r="O261" s="25" t="str">
        <f t="shared" si="4"/>
        <v/>
      </c>
      <c r="P261" s="26" t="str">
        <f t="shared" si="5"/>
        <v/>
      </c>
      <c r="Q261" s="25" t="str">
        <f t="shared" si="6"/>
        <v/>
      </c>
      <c r="R261" s="25" t="str">
        <f t="shared" si="7"/>
        <v/>
      </c>
    </row>
    <row r="262" ht="15.75" customHeight="1">
      <c r="C262" s="47"/>
      <c r="D262" s="47"/>
      <c r="E262" s="47"/>
      <c r="F262" s="47"/>
      <c r="G262" s="47"/>
      <c r="H262" s="47"/>
      <c r="J262" s="47"/>
      <c r="L262" s="25" t="str">
        <f t="shared" si="1"/>
        <v/>
      </c>
      <c r="M262" s="25" t="str">
        <f t="shared" si="2"/>
        <v/>
      </c>
      <c r="N262" s="25" t="str">
        <f t="shared" si="3"/>
        <v/>
      </c>
      <c r="O262" s="25" t="str">
        <f t="shared" si="4"/>
        <v/>
      </c>
      <c r="P262" s="26" t="str">
        <f t="shared" si="5"/>
        <v/>
      </c>
      <c r="Q262" s="25" t="str">
        <f t="shared" si="6"/>
        <v/>
      </c>
      <c r="R262" s="25" t="str">
        <f t="shared" si="7"/>
        <v/>
      </c>
    </row>
    <row r="263" ht="15.75" customHeight="1">
      <c r="C263" s="47"/>
      <c r="D263" s="47"/>
      <c r="E263" s="47"/>
      <c r="F263" s="47"/>
      <c r="G263" s="47"/>
      <c r="H263" s="47"/>
      <c r="J263" s="47"/>
      <c r="L263" s="25" t="str">
        <f t="shared" si="1"/>
        <v/>
      </c>
      <c r="M263" s="25" t="str">
        <f t="shared" si="2"/>
        <v/>
      </c>
      <c r="N263" s="25" t="str">
        <f t="shared" si="3"/>
        <v/>
      </c>
      <c r="O263" s="25" t="str">
        <f t="shared" si="4"/>
        <v/>
      </c>
      <c r="P263" s="26" t="str">
        <f t="shared" si="5"/>
        <v/>
      </c>
      <c r="Q263" s="25" t="str">
        <f t="shared" si="6"/>
        <v/>
      </c>
      <c r="R263" s="25" t="str">
        <f t="shared" si="7"/>
        <v/>
      </c>
    </row>
    <row r="264" ht="15.75" customHeight="1">
      <c r="C264" s="47"/>
      <c r="D264" s="47"/>
      <c r="E264" s="47"/>
      <c r="F264" s="47"/>
      <c r="G264" s="47"/>
      <c r="H264" s="47"/>
      <c r="J264" s="47"/>
      <c r="L264" s="25" t="str">
        <f t="shared" si="1"/>
        <v/>
      </c>
      <c r="M264" s="25" t="str">
        <f t="shared" si="2"/>
        <v/>
      </c>
      <c r="N264" s="25" t="str">
        <f t="shared" si="3"/>
        <v/>
      </c>
      <c r="O264" s="25" t="str">
        <f t="shared" si="4"/>
        <v/>
      </c>
      <c r="P264" s="26" t="str">
        <f t="shared" si="5"/>
        <v/>
      </c>
      <c r="Q264" s="25" t="str">
        <f t="shared" si="6"/>
        <v/>
      </c>
      <c r="R264" s="25" t="str">
        <f t="shared" si="7"/>
        <v/>
      </c>
    </row>
    <row r="265" ht="15.75" customHeight="1">
      <c r="C265" s="47"/>
      <c r="D265" s="47"/>
      <c r="E265" s="47"/>
      <c r="F265" s="47"/>
      <c r="G265" s="47"/>
      <c r="H265" s="47"/>
      <c r="J265" s="47"/>
      <c r="L265" s="25" t="str">
        <f t="shared" si="1"/>
        <v/>
      </c>
      <c r="M265" s="25" t="str">
        <f t="shared" si="2"/>
        <v/>
      </c>
      <c r="N265" s="25" t="str">
        <f t="shared" si="3"/>
        <v/>
      </c>
      <c r="O265" s="25" t="str">
        <f t="shared" si="4"/>
        <v/>
      </c>
      <c r="P265" s="26" t="str">
        <f t="shared" si="5"/>
        <v/>
      </c>
      <c r="Q265" s="25" t="str">
        <f t="shared" si="6"/>
        <v/>
      </c>
      <c r="R265" s="25" t="str">
        <f t="shared" si="7"/>
        <v/>
      </c>
    </row>
    <row r="266" ht="15.75" customHeight="1">
      <c r="C266" s="47"/>
      <c r="D266" s="47"/>
      <c r="E266" s="47"/>
      <c r="F266" s="47"/>
      <c r="G266" s="47"/>
      <c r="H266" s="47"/>
      <c r="J266" s="47"/>
      <c r="L266" s="25" t="str">
        <f t="shared" si="1"/>
        <v/>
      </c>
      <c r="M266" s="25" t="str">
        <f t="shared" si="2"/>
        <v/>
      </c>
      <c r="N266" s="25" t="str">
        <f t="shared" si="3"/>
        <v/>
      </c>
      <c r="O266" s="25" t="str">
        <f t="shared" si="4"/>
        <v/>
      </c>
      <c r="P266" s="26" t="str">
        <f t="shared" si="5"/>
        <v/>
      </c>
      <c r="Q266" s="25" t="str">
        <f t="shared" si="6"/>
        <v/>
      </c>
      <c r="R266" s="25" t="str">
        <f t="shared" si="7"/>
        <v/>
      </c>
    </row>
    <row r="267" ht="15.75" customHeight="1">
      <c r="C267" s="47"/>
      <c r="D267" s="47"/>
      <c r="E267" s="47"/>
      <c r="F267" s="47"/>
      <c r="G267" s="47"/>
      <c r="H267" s="47"/>
      <c r="J267" s="47"/>
      <c r="L267" s="25" t="str">
        <f t="shared" si="1"/>
        <v/>
      </c>
      <c r="M267" s="25" t="str">
        <f t="shared" si="2"/>
        <v/>
      </c>
      <c r="N267" s="25" t="str">
        <f t="shared" si="3"/>
        <v/>
      </c>
      <c r="O267" s="25" t="str">
        <f t="shared" si="4"/>
        <v/>
      </c>
      <c r="P267" s="26" t="str">
        <f t="shared" si="5"/>
        <v/>
      </c>
      <c r="Q267" s="25" t="str">
        <f t="shared" si="6"/>
        <v/>
      </c>
      <c r="R267" s="25" t="str">
        <f t="shared" si="7"/>
        <v/>
      </c>
    </row>
    <row r="268" ht="15.75" customHeight="1">
      <c r="C268" s="47"/>
      <c r="D268" s="47"/>
      <c r="E268" s="47"/>
      <c r="F268" s="47"/>
      <c r="G268" s="47"/>
      <c r="H268" s="47"/>
      <c r="J268" s="47"/>
      <c r="L268" s="25" t="str">
        <f t="shared" si="1"/>
        <v/>
      </c>
      <c r="M268" s="25" t="str">
        <f t="shared" si="2"/>
        <v/>
      </c>
      <c r="N268" s="25" t="str">
        <f t="shared" si="3"/>
        <v/>
      </c>
      <c r="O268" s="25" t="str">
        <f t="shared" si="4"/>
        <v/>
      </c>
      <c r="P268" s="26" t="str">
        <f t="shared" si="5"/>
        <v/>
      </c>
      <c r="Q268" s="25" t="str">
        <f t="shared" si="6"/>
        <v/>
      </c>
      <c r="R268" s="25" t="str">
        <f t="shared" si="7"/>
        <v/>
      </c>
    </row>
    <row r="269" ht="15.75" customHeight="1">
      <c r="C269" s="47"/>
      <c r="D269" s="47"/>
      <c r="E269" s="47"/>
      <c r="F269" s="47"/>
      <c r="G269" s="47"/>
      <c r="H269" s="47"/>
      <c r="J269" s="47"/>
      <c r="L269" s="25" t="str">
        <f t="shared" si="1"/>
        <v/>
      </c>
      <c r="M269" s="25" t="str">
        <f t="shared" si="2"/>
        <v/>
      </c>
      <c r="N269" s="25" t="str">
        <f t="shared" si="3"/>
        <v/>
      </c>
      <c r="O269" s="25" t="str">
        <f t="shared" si="4"/>
        <v/>
      </c>
      <c r="P269" s="26" t="str">
        <f t="shared" si="5"/>
        <v/>
      </c>
      <c r="Q269" s="25" t="str">
        <f t="shared" si="6"/>
        <v/>
      </c>
      <c r="R269" s="25" t="str">
        <f t="shared" si="7"/>
        <v/>
      </c>
    </row>
    <row r="270" ht="15.75" customHeight="1">
      <c r="C270" s="47"/>
      <c r="D270" s="47"/>
      <c r="E270" s="47"/>
      <c r="F270" s="47"/>
      <c r="G270" s="47"/>
      <c r="H270" s="47"/>
      <c r="J270" s="47"/>
      <c r="L270" s="25" t="str">
        <f t="shared" si="1"/>
        <v/>
      </c>
      <c r="M270" s="25" t="str">
        <f t="shared" si="2"/>
        <v/>
      </c>
      <c r="N270" s="25" t="str">
        <f t="shared" si="3"/>
        <v/>
      </c>
      <c r="O270" s="25" t="str">
        <f t="shared" si="4"/>
        <v/>
      </c>
      <c r="P270" s="26" t="str">
        <f t="shared" si="5"/>
        <v/>
      </c>
      <c r="Q270" s="25" t="str">
        <f t="shared" si="6"/>
        <v/>
      </c>
      <c r="R270" s="25" t="str">
        <f t="shared" si="7"/>
        <v/>
      </c>
    </row>
    <row r="271" ht="15.75" customHeight="1">
      <c r="C271" s="47"/>
      <c r="D271" s="47"/>
      <c r="E271" s="47"/>
      <c r="F271" s="47"/>
      <c r="G271" s="47"/>
      <c r="H271" s="47"/>
      <c r="J271" s="47"/>
      <c r="L271" s="25" t="str">
        <f t="shared" si="1"/>
        <v/>
      </c>
      <c r="M271" s="25" t="str">
        <f t="shared" si="2"/>
        <v/>
      </c>
      <c r="N271" s="25" t="str">
        <f t="shared" si="3"/>
        <v/>
      </c>
      <c r="O271" s="25" t="str">
        <f t="shared" si="4"/>
        <v/>
      </c>
      <c r="P271" s="26" t="str">
        <f t="shared" si="5"/>
        <v/>
      </c>
      <c r="Q271" s="25" t="str">
        <f t="shared" si="6"/>
        <v/>
      </c>
      <c r="R271" s="25" t="str">
        <f t="shared" si="7"/>
        <v/>
      </c>
    </row>
    <row r="272" ht="15.75" customHeight="1">
      <c r="C272" s="47"/>
      <c r="D272" s="47"/>
      <c r="E272" s="47"/>
      <c r="F272" s="47"/>
      <c r="G272" s="47"/>
      <c r="H272" s="47"/>
      <c r="J272" s="47"/>
      <c r="L272" s="25" t="str">
        <f t="shared" si="1"/>
        <v/>
      </c>
      <c r="M272" s="25" t="str">
        <f t="shared" si="2"/>
        <v/>
      </c>
      <c r="N272" s="25" t="str">
        <f t="shared" si="3"/>
        <v/>
      </c>
      <c r="O272" s="25" t="str">
        <f t="shared" si="4"/>
        <v/>
      </c>
      <c r="P272" s="26" t="str">
        <f t="shared" si="5"/>
        <v/>
      </c>
      <c r="Q272" s="25" t="str">
        <f t="shared" si="6"/>
        <v/>
      </c>
      <c r="R272" s="25" t="str">
        <f t="shared" si="7"/>
        <v/>
      </c>
    </row>
    <row r="273" ht="15.75" customHeight="1">
      <c r="C273" s="47"/>
      <c r="D273" s="47"/>
      <c r="E273" s="47"/>
      <c r="F273" s="47"/>
      <c r="G273" s="47"/>
      <c r="H273" s="47"/>
      <c r="J273" s="47"/>
      <c r="L273" s="25" t="str">
        <f t="shared" si="1"/>
        <v/>
      </c>
      <c r="M273" s="25" t="str">
        <f t="shared" si="2"/>
        <v/>
      </c>
      <c r="N273" s="25" t="str">
        <f t="shared" si="3"/>
        <v/>
      </c>
      <c r="O273" s="25" t="str">
        <f t="shared" si="4"/>
        <v/>
      </c>
      <c r="P273" s="26" t="str">
        <f t="shared" si="5"/>
        <v/>
      </c>
      <c r="Q273" s="25" t="str">
        <f t="shared" si="6"/>
        <v/>
      </c>
      <c r="R273" s="25" t="str">
        <f t="shared" si="7"/>
        <v/>
      </c>
    </row>
    <row r="274" ht="15.75" customHeight="1">
      <c r="C274" s="47"/>
      <c r="D274" s="47"/>
      <c r="E274" s="47"/>
      <c r="F274" s="47"/>
      <c r="G274" s="47"/>
      <c r="H274" s="47"/>
      <c r="J274" s="47"/>
      <c r="L274" s="25" t="str">
        <f t="shared" si="1"/>
        <v/>
      </c>
      <c r="M274" s="25" t="str">
        <f t="shared" si="2"/>
        <v/>
      </c>
      <c r="N274" s="25" t="str">
        <f t="shared" si="3"/>
        <v/>
      </c>
      <c r="O274" s="25" t="str">
        <f t="shared" si="4"/>
        <v/>
      </c>
      <c r="P274" s="26" t="str">
        <f t="shared" si="5"/>
        <v/>
      </c>
      <c r="Q274" s="25" t="str">
        <f t="shared" si="6"/>
        <v/>
      </c>
      <c r="R274" s="25" t="str">
        <f t="shared" si="7"/>
        <v/>
      </c>
    </row>
    <row r="275" ht="15.75" customHeight="1">
      <c r="C275" s="47"/>
      <c r="D275" s="47"/>
      <c r="E275" s="47"/>
      <c r="F275" s="47"/>
      <c r="G275" s="47"/>
      <c r="H275" s="47"/>
      <c r="J275" s="47"/>
      <c r="L275" s="25" t="str">
        <f t="shared" si="1"/>
        <v/>
      </c>
      <c r="M275" s="25" t="str">
        <f t="shared" si="2"/>
        <v/>
      </c>
      <c r="N275" s="25" t="str">
        <f t="shared" si="3"/>
        <v/>
      </c>
      <c r="O275" s="25" t="str">
        <f t="shared" si="4"/>
        <v/>
      </c>
      <c r="P275" s="26" t="str">
        <f t="shared" si="5"/>
        <v/>
      </c>
      <c r="Q275" s="25" t="str">
        <f t="shared" si="6"/>
        <v/>
      </c>
      <c r="R275" s="25" t="str">
        <f t="shared" si="7"/>
        <v/>
      </c>
    </row>
    <row r="276" ht="15.75" customHeight="1">
      <c r="C276" s="47"/>
      <c r="D276" s="47"/>
      <c r="E276" s="47"/>
      <c r="F276" s="47"/>
      <c r="G276" s="47"/>
      <c r="H276" s="47"/>
      <c r="J276" s="47"/>
      <c r="L276" s="25" t="str">
        <f t="shared" si="1"/>
        <v/>
      </c>
      <c r="M276" s="25" t="str">
        <f t="shared" si="2"/>
        <v/>
      </c>
      <c r="N276" s="25" t="str">
        <f t="shared" si="3"/>
        <v/>
      </c>
      <c r="O276" s="25" t="str">
        <f t="shared" si="4"/>
        <v/>
      </c>
      <c r="P276" s="26" t="str">
        <f t="shared" si="5"/>
        <v/>
      </c>
      <c r="Q276" s="25" t="str">
        <f t="shared" si="6"/>
        <v/>
      </c>
      <c r="R276" s="25" t="str">
        <f t="shared" si="7"/>
        <v/>
      </c>
    </row>
    <row r="277" ht="15.75" customHeight="1">
      <c r="C277" s="47"/>
      <c r="D277" s="47"/>
      <c r="E277" s="47"/>
      <c r="F277" s="47"/>
      <c r="G277" s="47"/>
      <c r="H277" s="47"/>
      <c r="J277" s="47"/>
      <c r="L277" s="25" t="str">
        <f t="shared" si="1"/>
        <v/>
      </c>
      <c r="M277" s="25" t="str">
        <f t="shared" si="2"/>
        <v/>
      </c>
      <c r="N277" s="25" t="str">
        <f t="shared" si="3"/>
        <v/>
      </c>
      <c r="O277" s="25" t="str">
        <f t="shared" si="4"/>
        <v/>
      </c>
      <c r="P277" s="26" t="str">
        <f t="shared" si="5"/>
        <v/>
      </c>
      <c r="Q277" s="25" t="str">
        <f t="shared" si="6"/>
        <v/>
      </c>
      <c r="R277" s="25" t="str">
        <f t="shared" si="7"/>
        <v/>
      </c>
    </row>
    <row r="278" ht="15.75" customHeight="1">
      <c r="C278" s="47"/>
      <c r="D278" s="47"/>
      <c r="E278" s="47"/>
      <c r="F278" s="47"/>
      <c r="G278" s="47"/>
      <c r="H278" s="47"/>
      <c r="J278" s="47"/>
      <c r="L278" s="25" t="str">
        <f t="shared" si="1"/>
        <v/>
      </c>
      <c r="M278" s="25" t="str">
        <f t="shared" si="2"/>
        <v/>
      </c>
      <c r="N278" s="25" t="str">
        <f t="shared" si="3"/>
        <v/>
      </c>
      <c r="O278" s="25" t="str">
        <f t="shared" si="4"/>
        <v/>
      </c>
      <c r="P278" s="26" t="str">
        <f t="shared" si="5"/>
        <v/>
      </c>
      <c r="Q278" s="25" t="str">
        <f t="shared" si="6"/>
        <v/>
      </c>
      <c r="R278" s="25" t="str">
        <f t="shared" si="7"/>
        <v/>
      </c>
    </row>
    <row r="279" ht="15.75" customHeight="1">
      <c r="C279" s="47"/>
      <c r="D279" s="47"/>
      <c r="E279" s="47"/>
      <c r="F279" s="47"/>
      <c r="G279" s="47"/>
      <c r="H279" s="47"/>
      <c r="J279" s="47"/>
      <c r="L279" s="25" t="str">
        <f t="shared" si="1"/>
        <v/>
      </c>
      <c r="M279" s="25" t="str">
        <f t="shared" si="2"/>
        <v/>
      </c>
      <c r="N279" s="25" t="str">
        <f t="shared" si="3"/>
        <v/>
      </c>
      <c r="O279" s="25" t="str">
        <f t="shared" si="4"/>
        <v/>
      </c>
      <c r="P279" s="26" t="str">
        <f t="shared" si="5"/>
        <v/>
      </c>
      <c r="Q279" s="25" t="str">
        <f t="shared" si="6"/>
        <v/>
      </c>
      <c r="R279" s="25" t="str">
        <f t="shared" si="7"/>
        <v/>
      </c>
    </row>
    <row r="280" ht="15.75" customHeight="1">
      <c r="C280" s="47"/>
      <c r="D280" s="47"/>
      <c r="E280" s="47"/>
      <c r="F280" s="47"/>
      <c r="G280" s="47"/>
      <c r="H280" s="47"/>
      <c r="J280" s="47"/>
      <c r="L280" s="25" t="str">
        <f t="shared" si="1"/>
        <v/>
      </c>
      <c r="M280" s="25" t="str">
        <f t="shared" si="2"/>
        <v/>
      </c>
      <c r="N280" s="25" t="str">
        <f t="shared" si="3"/>
        <v/>
      </c>
      <c r="O280" s="25" t="str">
        <f t="shared" si="4"/>
        <v/>
      </c>
      <c r="P280" s="26" t="str">
        <f t="shared" si="5"/>
        <v/>
      </c>
      <c r="Q280" s="25" t="str">
        <f t="shared" si="6"/>
        <v/>
      </c>
      <c r="R280" s="25" t="str">
        <f t="shared" si="7"/>
        <v/>
      </c>
    </row>
    <row r="281" ht="15.75" customHeight="1">
      <c r="C281" s="47"/>
      <c r="D281" s="47"/>
      <c r="E281" s="47"/>
      <c r="F281" s="47"/>
      <c r="G281" s="47"/>
      <c r="H281" s="47"/>
      <c r="J281" s="47"/>
      <c r="L281" s="25" t="str">
        <f t="shared" si="1"/>
        <v/>
      </c>
      <c r="M281" s="25" t="str">
        <f t="shared" si="2"/>
        <v/>
      </c>
      <c r="N281" s="25" t="str">
        <f t="shared" si="3"/>
        <v/>
      </c>
      <c r="O281" s="25" t="str">
        <f t="shared" si="4"/>
        <v/>
      </c>
      <c r="P281" s="26" t="str">
        <f t="shared" si="5"/>
        <v/>
      </c>
      <c r="Q281" s="25" t="str">
        <f t="shared" si="6"/>
        <v/>
      </c>
      <c r="R281" s="25" t="str">
        <f t="shared" si="7"/>
        <v/>
      </c>
    </row>
    <row r="282" ht="15.75" customHeight="1">
      <c r="C282" s="47"/>
      <c r="D282" s="47"/>
      <c r="E282" s="47"/>
      <c r="F282" s="47"/>
      <c r="G282" s="47"/>
      <c r="H282" s="47"/>
      <c r="J282" s="47"/>
      <c r="L282" s="25" t="str">
        <f t="shared" si="1"/>
        <v/>
      </c>
      <c r="M282" s="25" t="str">
        <f t="shared" si="2"/>
        <v/>
      </c>
      <c r="N282" s="25" t="str">
        <f t="shared" si="3"/>
        <v/>
      </c>
      <c r="O282" s="25" t="str">
        <f t="shared" si="4"/>
        <v/>
      </c>
      <c r="P282" s="26" t="str">
        <f t="shared" si="5"/>
        <v/>
      </c>
      <c r="Q282" s="25" t="str">
        <f t="shared" si="6"/>
        <v/>
      </c>
      <c r="R282" s="25" t="str">
        <f t="shared" si="7"/>
        <v/>
      </c>
    </row>
    <row r="283" ht="15.75" customHeight="1">
      <c r="C283" s="47"/>
      <c r="D283" s="47"/>
      <c r="E283" s="47"/>
      <c r="F283" s="47"/>
      <c r="G283" s="47"/>
      <c r="H283" s="47"/>
      <c r="J283" s="47"/>
      <c r="L283" s="25" t="str">
        <f t="shared" si="1"/>
        <v/>
      </c>
      <c r="M283" s="25" t="str">
        <f t="shared" si="2"/>
        <v/>
      </c>
      <c r="N283" s="25" t="str">
        <f t="shared" si="3"/>
        <v/>
      </c>
      <c r="O283" s="25" t="str">
        <f t="shared" si="4"/>
        <v/>
      </c>
      <c r="P283" s="26" t="str">
        <f t="shared" si="5"/>
        <v/>
      </c>
      <c r="Q283" s="25" t="str">
        <f t="shared" si="6"/>
        <v/>
      </c>
      <c r="R283" s="25" t="str">
        <f t="shared" si="7"/>
        <v/>
      </c>
    </row>
    <row r="284" ht="15.75" customHeight="1">
      <c r="C284" s="47"/>
      <c r="D284" s="47"/>
      <c r="E284" s="47"/>
      <c r="F284" s="47"/>
      <c r="G284" s="47"/>
      <c r="H284" s="47"/>
      <c r="J284" s="47"/>
      <c r="L284" s="25" t="str">
        <f t="shared" si="1"/>
        <v/>
      </c>
      <c r="M284" s="25" t="str">
        <f t="shared" si="2"/>
        <v/>
      </c>
      <c r="N284" s="25" t="str">
        <f t="shared" si="3"/>
        <v/>
      </c>
      <c r="O284" s="25" t="str">
        <f t="shared" si="4"/>
        <v/>
      </c>
      <c r="P284" s="26" t="str">
        <f t="shared" si="5"/>
        <v/>
      </c>
      <c r="Q284" s="25" t="str">
        <f t="shared" si="6"/>
        <v/>
      </c>
      <c r="R284" s="25" t="str">
        <f t="shared" si="7"/>
        <v/>
      </c>
    </row>
    <row r="285" ht="15.75" customHeight="1">
      <c r="C285" s="47"/>
      <c r="D285" s="47"/>
      <c r="E285" s="47"/>
      <c r="F285" s="47"/>
      <c r="G285" s="47"/>
      <c r="H285" s="47"/>
      <c r="J285" s="47"/>
      <c r="L285" s="25" t="str">
        <f t="shared" si="1"/>
        <v/>
      </c>
      <c r="M285" s="25" t="str">
        <f t="shared" si="2"/>
        <v/>
      </c>
      <c r="N285" s="25" t="str">
        <f t="shared" si="3"/>
        <v/>
      </c>
      <c r="O285" s="25" t="str">
        <f t="shared" si="4"/>
        <v/>
      </c>
      <c r="P285" s="26" t="str">
        <f t="shared" si="5"/>
        <v/>
      </c>
      <c r="Q285" s="25" t="str">
        <f t="shared" si="6"/>
        <v/>
      </c>
      <c r="R285" s="25" t="str">
        <f t="shared" si="7"/>
        <v/>
      </c>
    </row>
    <row r="286" ht="15.75" customHeight="1">
      <c r="C286" s="47"/>
      <c r="D286" s="47"/>
      <c r="E286" s="47"/>
      <c r="F286" s="47"/>
      <c r="G286" s="47"/>
      <c r="H286" s="47"/>
      <c r="J286" s="47"/>
      <c r="L286" s="25" t="str">
        <f t="shared" si="1"/>
        <v/>
      </c>
      <c r="M286" s="25" t="str">
        <f t="shared" si="2"/>
        <v/>
      </c>
      <c r="N286" s="25" t="str">
        <f t="shared" si="3"/>
        <v/>
      </c>
      <c r="O286" s="25" t="str">
        <f t="shared" si="4"/>
        <v/>
      </c>
      <c r="P286" s="26" t="str">
        <f t="shared" si="5"/>
        <v/>
      </c>
      <c r="Q286" s="25" t="str">
        <f t="shared" si="6"/>
        <v/>
      </c>
      <c r="R286" s="25" t="str">
        <f t="shared" si="7"/>
        <v/>
      </c>
    </row>
    <row r="287" ht="15.75" customHeight="1">
      <c r="C287" s="47"/>
      <c r="D287" s="47"/>
      <c r="E287" s="47"/>
      <c r="F287" s="47"/>
      <c r="G287" s="47"/>
      <c r="H287" s="47"/>
      <c r="J287" s="47"/>
      <c r="L287" s="25" t="str">
        <f t="shared" si="1"/>
        <v/>
      </c>
      <c r="M287" s="25" t="str">
        <f t="shared" si="2"/>
        <v/>
      </c>
      <c r="N287" s="25" t="str">
        <f t="shared" si="3"/>
        <v/>
      </c>
      <c r="O287" s="25" t="str">
        <f t="shared" si="4"/>
        <v/>
      </c>
      <c r="P287" s="26" t="str">
        <f t="shared" si="5"/>
        <v/>
      </c>
      <c r="Q287" s="25" t="str">
        <f t="shared" si="6"/>
        <v/>
      </c>
      <c r="R287" s="25" t="str">
        <f t="shared" si="7"/>
        <v/>
      </c>
    </row>
    <row r="288" ht="15.75" customHeight="1">
      <c r="C288" s="47"/>
      <c r="D288" s="47"/>
      <c r="E288" s="47"/>
      <c r="F288" s="47"/>
      <c r="G288" s="47"/>
      <c r="H288" s="47"/>
      <c r="J288" s="47"/>
      <c r="L288" s="25" t="str">
        <f t="shared" si="1"/>
        <v/>
      </c>
      <c r="M288" s="25" t="str">
        <f t="shared" si="2"/>
        <v/>
      </c>
      <c r="N288" s="25" t="str">
        <f t="shared" si="3"/>
        <v/>
      </c>
      <c r="O288" s="25" t="str">
        <f t="shared" si="4"/>
        <v/>
      </c>
      <c r="P288" s="26" t="str">
        <f t="shared" si="5"/>
        <v/>
      </c>
      <c r="Q288" s="25" t="str">
        <f t="shared" si="6"/>
        <v/>
      </c>
      <c r="R288" s="25" t="str">
        <f t="shared" si="7"/>
        <v/>
      </c>
    </row>
    <row r="289" ht="15.75" customHeight="1">
      <c r="C289" s="47"/>
      <c r="D289" s="47"/>
      <c r="E289" s="47"/>
      <c r="F289" s="47"/>
      <c r="G289" s="47"/>
      <c r="H289" s="47"/>
      <c r="J289" s="47"/>
      <c r="L289" s="25" t="str">
        <f t="shared" si="1"/>
        <v/>
      </c>
      <c r="M289" s="25" t="str">
        <f t="shared" si="2"/>
        <v/>
      </c>
      <c r="N289" s="25" t="str">
        <f t="shared" si="3"/>
        <v/>
      </c>
      <c r="O289" s="25" t="str">
        <f t="shared" si="4"/>
        <v/>
      </c>
      <c r="P289" s="26" t="str">
        <f t="shared" si="5"/>
        <v/>
      </c>
      <c r="Q289" s="25" t="str">
        <f t="shared" si="6"/>
        <v/>
      </c>
      <c r="R289" s="25" t="str">
        <f t="shared" si="7"/>
        <v/>
      </c>
    </row>
    <row r="290" ht="15.75" customHeight="1">
      <c r="C290" s="47"/>
      <c r="D290" s="47"/>
      <c r="E290" s="47"/>
      <c r="F290" s="47"/>
      <c r="G290" s="47"/>
      <c r="H290" s="47"/>
      <c r="J290" s="47"/>
      <c r="L290" s="25" t="str">
        <f t="shared" si="1"/>
        <v/>
      </c>
      <c r="M290" s="25" t="str">
        <f t="shared" si="2"/>
        <v/>
      </c>
      <c r="N290" s="25" t="str">
        <f t="shared" si="3"/>
        <v/>
      </c>
      <c r="O290" s="25" t="str">
        <f t="shared" si="4"/>
        <v/>
      </c>
      <c r="P290" s="26" t="str">
        <f t="shared" si="5"/>
        <v/>
      </c>
      <c r="Q290" s="25" t="str">
        <f t="shared" si="6"/>
        <v/>
      </c>
      <c r="R290" s="25" t="str">
        <f t="shared" si="7"/>
        <v/>
      </c>
    </row>
    <row r="291" ht="15.75" customHeight="1">
      <c r="C291" s="47"/>
      <c r="D291" s="47"/>
      <c r="E291" s="47"/>
      <c r="F291" s="47"/>
      <c r="G291" s="47"/>
      <c r="H291" s="47"/>
      <c r="J291" s="47"/>
      <c r="L291" s="25" t="str">
        <f t="shared" si="1"/>
        <v/>
      </c>
      <c r="M291" s="25" t="str">
        <f t="shared" si="2"/>
        <v/>
      </c>
      <c r="N291" s="25" t="str">
        <f t="shared" si="3"/>
        <v/>
      </c>
      <c r="O291" s="25" t="str">
        <f t="shared" si="4"/>
        <v/>
      </c>
      <c r="P291" s="26" t="str">
        <f t="shared" si="5"/>
        <v/>
      </c>
      <c r="Q291" s="25" t="str">
        <f t="shared" si="6"/>
        <v/>
      </c>
      <c r="R291" s="25" t="str">
        <f t="shared" si="7"/>
        <v/>
      </c>
    </row>
    <row r="292" ht="15.75" customHeight="1">
      <c r="C292" s="47"/>
      <c r="D292" s="47"/>
      <c r="E292" s="47"/>
      <c r="F292" s="47"/>
      <c r="G292" s="47"/>
      <c r="H292" s="47"/>
      <c r="J292" s="47"/>
      <c r="L292" s="25" t="str">
        <f t="shared" si="1"/>
        <v/>
      </c>
      <c r="M292" s="25" t="str">
        <f t="shared" si="2"/>
        <v/>
      </c>
      <c r="N292" s="25" t="str">
        <f t="shared" si="3"/>
        <v/>
      </c>
      <c r="O292" s="25" t="str">
        <f t="shared" si="4"/>
        <v/>
      </c>
      <c r="P292" s="26" t="str">
        <f t="shared" si="5"/>
        <v/>
      </c>
      <c r="Q292" s="25" t="str">
        <f t="shared" si="6"/>
        <v/>
      </c>
      <c r="R292" s="25" t="str">
        <f t="shared" si="7"/>
        <v/>
      </c>
    </row>
    <row r="293" ht="15.75" customHeight="1">
      <c r="C293" s="47"/>
      <c r="D293" s="47"/>
      <c r="E293" s="47"/>
      <c r="F293" s="47"/>
      <c r="G293" s="47"/>
      <c r="H293" s="47"/>
      <c r="J293" s="47"/>
      <c r="L293" s="25" t="str">
        <f t="shared" si="1"/>
        <v/>
      </c>
      <c r="M293" s="25" t="str">
        <f t="shared" si="2"/>
        <v/>
      </c>
      <c r="N293" s="25" t="str">
        <f t="shared" si="3"/>
        <v/>
      </c>
      <c r="O293" s="25" t="str">
        <f t="shared" si="4"/>
        <v/>
      </c>
      <c r="P293" s="26" t="str">
        <f t="shared" si="5"/>
        <v/>
      </c>
      <c r="Q293" s="25" t="str">
        <f t="shared" si="6"/>
        <v/>
      </c>
      <c r="R293" s="25" t="str">
        <f t="shared" si="7"/>
        <v/>
      </c>
    </row>
    <row r="294" ht="15.75" customHeight="1">
      <c r="C294" s="47"/>
      <c r="D294" s="47"/>
      <c r="E294" s="47"/>
      <c r="F294" s="47"/>
      <c r="G294" s="47"/>
      <c r="H294" s="47"/>
      <c r="J294" s="47"/>
      <c r="L294" s="25" t="str">
        <f t="shared" si="1"/>
        <v/>
      </c>
      <c r="M294" s="25" t="str">
        <f t="shared" si="2"/>
        <v/>
      </c>
      <c r="N294" s="25" t="str">
        <f t="shared" si="3"/>
        <v/>
      </c>
      <c r="O294" s="25" t="str">
        <f t="shared" si="4"/>
        <v/>
      </c>
      <c r="P294" s="26" t="str">
        <f t="shared" si="5"/>
        <v/>
      </c>
      <c r="Q294" s="25" t="str">
        <f t="shared" si="6"/>
        <v/>
      </c>
      <c r="R294" s="25" t="str">
        <f t="shared" si="7"/>
        <v/>
      </c>
    </row>
    <row r="295" ht="15.75" customHeight="1">
      <c r="C295" s="47"/>
      <c r="D295" s="47"/>
      <c r="E295" s="47"/>
      <c r="F295" s="47"/>
      <c r="G295" s="47"/>
      <c r="H295" s="47"/>
      <c r="J295" s="47"/>
      <c r="L295" s="25" t="str">
        <f t="shared" si="1"/>
        <v/>
      </c>
      <c r="M295" s="25" t="str">
        <f t="shared" si="2"/>
        <v/>
      </c>
      <c r="N295" s="25" t="str">
        <f t="shared" si="3"/>
        <v/>
      </c>
      <c r="O295" s="25" t="str">
        <f t="shared" si="4"/>
        <v/>
      </c>
      <c r="P295" s="26" t="str">
        <f t="shared" si="5"/>
        <v/>
      </c>
      <c r="Q295" s="25" t="str">
        <f t="shared" si="6"/>
        <v/>
      </c>
      <c r="R295" s="25" t="str">
        <f t="shared" si="7"/>
        <v/>
      </c>
    </row>
    <row r="296" ht="15.75" customHeight="1">
      <c r="C296" s="47"/>
      <c r="D296" s="47"/>
      <c r="E296" s="47"/>
      <c r="F296" s="47"/>
      <c r="G296" s="47"/>
      <c r="H296" s="47"/>
      <c r="J296" s="47"/>
      <c r="L296" s="25" t="str">
        <f t="shared" si="1"/>
        <v/>
      </c>
      <c r="M296" s="25" t="str">
        <f t="shared" si="2"/>
        <v/>
      </c>
      <c r="N296" s="25" t="str">
        <f t="shared" si="3"/>
        <v/>
      </c>
      <c r="O296" s="25" t="str">
        <f t="shared" si="4"/>
        <v/>
      </c>
      <c r="P296" s="26" t="str">
        <f t="shared" si="5"/>
        <v/>
      </c>
      <c r="Q296" s="25" t="str">
        <f t="shared" si="6"/>
        <v/>
      </c>
      <c r="R296" s="25" t="str">
        <f t="shared" si="7"/>
        <v/>
      </c>
    </row>
    <row r="297" ht="15.75" customHeight="1">
      <c r="C297" s="47"/>
      <c r="D297" s="47"/>
      <c r="E297" s="47"/>
      <c r="F297" s="47"/>
      <c r="G297" s="47"/>
      <c r="H297" s="47"/>
      <c r="J297" s="47"/>
      <c r="L297" s="25" t="str">
        <f t="shared" si="1"/>
        <v/>
      </c>
      <c r="M297" s="25" t="str">
        <f t="shared" si="2"/>
        <v/>
      </c>
      <c r="N297" s="25" t="str">
        <f t="shared" si="3"/>
        <v/>
      </c>
      <c r="O297" s="25" t="str">
        <f t="shared" si="4"/>
        <v/>
      </c>
      <c r="P297" s="26" t="str">
        <f t="shared" si="5"/>
        <v/>
      </c>
      <c r="Q297" s="25" t="str">
        <f t="shared" si="6"/>
        <v/>
      </c>
      <c r="R297" s="25" t="str">
        <f t="shared" si="7"/>
        <v/>
      </c>
    </row>
    <row r="298" ht="15.75" customHeight="1">
      <c r="C298" s="47"/>
      <c r="D298" s="47"/>
      <c r="E298" s="47"/>
      <c r="F298" s="47"/>
      <c r="G298" s="47"/>
      <c r="H298" s="47"/>
      <c r="J298" s="47"/>
      <c r="L298" s="25" t="str">
        <f t="shared" si="1"/>
        <v/>
      </c>
      <c r="M298" s="25" t="str">
        <f t="shared" si="2"/>
        <v/>
      </c>
      <c r="N298" s="25" t="str">
        <f t="shared" si="3"/>
        <v/>
      </c>
      <c r="O298" s="25" t="str">
        <f t="shared" si="4"/>
        <v/>
      </c>
      <c r="P298" s="26" t="str">
        <f t="shared" si="5"/>
        <v/>
      </c>
      <c r="Q298" s="25" t="str">
        <f t="shared" si="6"/>
        <v/>
      </c>
      <c r="R298" s="25" t="str">
        <f t="shared" si="7"/>
        <v/>
      </c>
    </row>
    <row r="299" ht="15.75" customHeight="1">
      <c r="C299" s="47"/>
      <c r="D299" s="47"/>
      <c r="E299" s="47"/>
      <c r="F299" s="47"/>
      <c r="G299" s="47"/>
      <c r="H299" s="47"/>
      <c r="J299" s="47"/>
      <c r="L299" s="25" t="str">
        <f t="shared" si="1"/>
        <v/>
      </c>
      <c r="M299" s="25" t="str">
        <f t="shared" si="2"/>
        <v/>
      </c>
      <c r="N299" s="25" t="str">
        <f t="shared" si="3"/>
        <v/>
      </c>
      <c r="O299" s="25" t="str">
        <f t="shared" si="4"/>
        <v/>
      </c>
      <c r="P299" s="26" t="str">
        <f t="shared" si="5"/>
        <v/>
      </c>
      <c r="Q299" s="25" t="str">
        <f t="shared" si="6"/>
        <v/>
      </c>
      <c r="R299" s="25" t="str">
        <f t="shared" si="7"/>
        <v/>
      </c>
    </row>
    <row r="300" ht="15.75" customHeight="1">
      <c r="C300" s="47"/>
      <c r="D300" s="47"/>
      <c r="E300" s="47"/>
      <c r="F300" s="47"/>
      <c r="G300" s="47"/>
      <c r="H300" s="47"/>
      <c r="J300" s="47"/>
      <c r="L300" s="25" t="str">
        <f t="shared" si="1"/>
        <v/>
      </c>
      <c r="M300" s="25" t="str">
        <f t="shared" si="2"/>
        <v/>
      </c>
      <c r="N300" s="25" t="str">
        <f t="shared" si="3"/>
        <v/>
      </c>
      <c r="O300" s="25" t="str">
        <f t="shared" si="4"/>
        <v/>
      </c>
      <c r="P300" s="26" t="str">
        <f t="shared" si="5"/>
        <v/>
      </c>
      <c r="Q300" s="25" t="str">
        <f t="shared" si="6"/>
        <v/>
      </c>
      <c r="R300" s="25" t="str">
        <f t="shared" si="7"/>
        <v/>
      </c>
    </row>
    <row r="301" ht="15.75" customHeight="1">
      <c r="C301" s="47"/>
      <c r="D301" s="47"/>
      <c r="E301" s="47"/>
      <c r="F301" s="47"/>
      <c r="G301" s="47"/>
      <c r="H301" s="47"/>
      <c r="J301" s="47"/>
      <c r="L301" s="25" t="str">
        <f t="shared" si="1"/>
        <v/>
      </c>
      <c r="M301" s="25" t="str">
        <f t="shared" si="2"/>
        <v/>
      </c>
      <c r="N301" s="25" t="str">
        <f t="shared" si="3"/>
        <v/>
      </c>
      <c r="O301" s="25" t="str">
        <f t="shared" si="4"/>
        <v/>
      </c>
      <c r="P301" s="26" t="str">
        <f t="shared" si="5"/>
        <v/>
      </c>
      <c r="Q301" s="25" t="str">
        <f t="shared" si="6"/>
        <v/>
      </c>
      <c r="R301" s="25" t="str">
        <f t="shared" si="7"/>
        <v/>
      </c>
    </row>
    <row r="302" ht="15.75" customHeight="1">
      <c r="C302" s="47"/>
      <c r="D302" s="47"/>
      <c r="E302" s="47"/>
      <c r="F302" s="47"/>
      <c r="G302" s="47"/>
      <c r="H302" s="47"/>
      <c r="J302" s="47"/>
      <c r="L302" s="25" t="str">
        <f t="shared" si="1"/>
        <v/>
      </c>
      <c r="M302" s="25" t="str">
        <f t="shared" si="2"/>
        <v/>
      </c>
      <c r="N302" s="25" t="str">
        <f t="shared" si="3"/>
        <v/>
      </c>
      <c r="O302" s="25" t="str">
        <f t="shared" si="4"/>
        <v/>
      </c>
      <c r="P302" s="26" t="str">
        <f t="shared" si="5"/>
        <v/>
      </c>
      <c r="Q302" s="25" t="str">
        <f t="shared" si="6"/>
        <v/>
      </c>
      <c r="R302" s="25" t="str">
        <f t="shared" si="7"/>
        <v/>
      </c>
    </row>
    <row r="303" ht="15.75" customHeight="1">
      <c r="C303" s="47"/>
      <c r="D303" s="47"/>
      <c r="E303" s="47"/>
      <c r="F303" s="47"/>
      <c r="G303" s="47"/>
      <c r="H303" s="47"/>
      <c r="J303" s="47"/>
      <c r="L303" s="25" t="str">
        <f t="shared" si="1"/>
        <v/>
      </c>
      <c r="M303" s="25" t="str">
        <f t="shared" si="2"/>
        <v/>
      </c>
      <c r="N303" s="25" t="str">
        <f t="shared" si="3"/>
        <v/>
      </c>
      <c r="O303" s="25" t="str">
        <f t="shared" si="4"/>
        <v/>
      </c>
      <c r="P303" s="26" t="str">
        <f t="shared" si="5"/>
        <v/>
      </c>
      <c r="Q303" s="25" t="str">
        <f t="shared" si="6"/>
        <v/>
      </c>
      <c r="R303" s="25" t="str">
        <f t="shared" si="7"/>
        <v/>
      </c>
    </row>
    <row r="304" ht="15.75" customHeight="1">
      <c r="C304" s="47"/>
      <c r="D304" s="47"/>
      <c r="E304" s="47"/>
      <c r="F304" s="47"/>
      <c r="G304" s="47"/>
      <c r="H304" s="47"/>
      <c r="J304" s="47"/>
      <c r="L304" s="25" t="str">
        <f t="shared" si="1"/>
        <v/>
      </c>
      <c r="M304" s="25" t="str">
        <f t="shared" si="2"/>
        <v/>
      </c>
      <c r="N304" s="25" t="str">
        <f t="shared" si="3"/>
        <v/>
      </c>
      <c r="O304" s="25" t="str">
        <f t="shared" si="4"/>
        <v/>
      </c>
      <c r="P304" s="26" t="str">
        <f t="shared" si="5"/>
        <v/>
      </c>
      <c r="Q304" s="25" t="str">
        <f t="shared" si="6"/>
        <v/>
      </c>
      <c r="R304" s="25" t="str">
        <f t="shared" si="7"/>
        <v/>
      </c>
    </row>
    <row r="305" ht="15.75" customHeight="1">
      <c r="C305" s="47"/>
      <c r="D305" s="47"/>
      <c r="E305" s="47"/>
      <c r="F305" s="47"/>
      <c r="G305" s="47"/>
      <c r="H305" s="47"/>
      <c r="J305" s="47"/>
      <c r="L305" s="25" t="str">
        <f t="shared" si="1"/>
        <v/>
      </c>
      <c r="M305" s="25" t="str">
        <f t="shared" si="2"/>
        <v/>
      </c>
      <c r="N305" s="25" t="str">
        <f t="shared" si="3"/>
        <v/>
      </c>
      <c r="O305" s="25" t="str">
        <f t="shared" si="4"/>
        <v/>
      </c>
      <c r="P305" s="26" t="str">
        <f t="shared" si="5"/>
        <v/>
      </c>
      <c r="Q305" s="25" t="str">
        <f t="shared" si="6"/>
        <v/>
      </c>
      <c r="R305" s="25" t="str">
        <f t="shared" si="7"/>
        <v/>
      </c>
    </row>
    <row r="306" ht="15.75" customHeight="1">
      <c r="C306" s="47"/>
      <c r="D306" s="47"/>
      <c r="E306" s="47"/>
      <c r="F306" s="47"/>
      <c r="G306" s="47"/>
      <c r="H306" s="47"/>
      <c r="J306" s="47"/>
      <c r="L306" s="25" t="str">
        <f t="shared" si="1"/>
        <v/>
      </c>
      <c r="M306" s="25" t="str">
        <f t="shared" si="2"/>
        <v/>
      </c>
      <c r="N306" s="25" t="str">
        <f t="shared" si="3"/>
        <v/>
      </c>
      <c r="O306" s="25" t="str">
        <f t="shared" si="4"/>
        <v/>
      </c>
      <c r="P306" s="26" t="str">
        <f t="shared" si="5"/>
        <v/>
      </c>
      <c r="Q306" s="25" t="str">
        <f t="shared" si="6"/>
        <v/>
      </c>
      <c r="R306" s="25" t="str">
        <f t="shared" si="7"/>
        <v/>
      </c>
    </row>
    <row r="307" ht="15.75" customHeight="1">
      <c r="C307" s="47"/>
      <c r="D307" s="47"/>
      <c r="E307" s="47"/>
      <c r="F307" s="47"/>
      <c r="G307" s="47"/>
      <c r="H307" s="47"/>
      <c r="J307" s="47"/>
      <c r="L307" s="25" t="str">
        <f t="shared" si="1"/>
        <v/>
      </c>
      <c r="M307" s="25" t="str">
        <f t="shared" si="2"/>
        <v/>
      </c>
      <c r="N307" s="25" t="str">
        <f t="shared" si="3"/>
        <v/>
      </c>
      <c r="O307" s="25" t="str">
        <f t="shared" si="4"/>
        <v/>
      </c>
      <c r="P307" s="26" t="str">
        <f t="shared" si="5"/>
        <v/>
      </c>
      <c r="Q307" s="25" t="str">
        <f t="shared" si="6"/>
        <v/>
      </c>
      <c r="R307" s="25" t="str">
        <f t="shared" si="7"/>
        <v/>
      </c>
    </row>
    <row r="308" ht="15.75" customHeight="1">
      <c r="C308" s="47"/>
      <c r="D308" s="47"/>
      <c r="E308" s="47"/>
      <c r="F308" s="47"/>
      <c r="G308" s="47"/>
      <c r="H308" s="47"/>
      <c r="J308" s="47"/>
      <c r="L308" s="25" t="str">
        <f t="shared" si="1"/>
        <v/>
      </c>
      <c r="M308" s="25" t="str">
        <f t="shared" si="2"/>
        <v/>
      </c>
      <c r="N308" s="25" t="str">
        <f t="shared" si="3"/>
        <v/>
      </c>
      <c r="O308" s="25" t="str">
        <f t="shared" si="4"/>
        <v/>
      </c>
      <c r="P308" s="26" t="str">
        <f t="shared" si="5"/>
        <v/>
      </c>
      <c r="Q308" s="25" t="str">
        <f t="shared" si="6"/>
        <v/>
      </c>
      <c r="R308" s="25" t="str">
        <f t="shared" si="7"/>
        <v/>
      </c>
    </row>
    <row r="309" ht="15.75" customHeight="1">
      <c r="C309" s="47"/>
      <c r="D309" s="47"/>
      <c r="E309" s="47"/>
      <c r="F309" s="47"/>
      <c r="G309" s="47"/>
      <c r="H309" s="47"/>
      <c r="J309" s="47"/>
      <c r="L309" s="25" t="str">
        <f t="shared" si="1"/>
        <v/>
      </c>
      <c r="M309" s="25" t="str">
        <f t="shared" si="2"/>
        <v/>
      </c>
      <c r="N309" s="25" t="str">
        <f t="shared" si="3"/>
        <v/>
      </c>
      <c r="O309" s="25" t="str">
        <f t="shared" si="4"/>
        <v/>
      </c>
      <c r="P309" s="26" t="str">
        <f t="shared" si="5"/>
        <v/>
      </c>
      <c r="Q309" s="25" t="str">
        <f t="shared" si="6"/>
        <v/>
      </c>
      <c r="R309" s="25" t="str">
        <f t="shared" si="7"/>
        <v/>
      </c>
    </row>
    <row r="310" ht="15.75" customHeight="1">
      <c r="C310" s="47"/>
      <c r="D310" s="47"/>
      <c r="E310" s="47"/>
      <c r="F310" s="47"/>
      <c r="G310" s="47"/>
      <c r="H310" s="47"/>
      <c r="J310" s="47"/>
      <c r="L310" s="25" t="str">
        <f t="shared" si="1"/>
        <v/>
      </c>
      <c r="M310" s="25" t="str">
        <f t="shared" si="2"/>
        <v/>
      </c>
      <c r="N310" s="25" t="str">
        <f t="shared" si="3"/>
        <v/>
      </c>
      <c r="O310" s="25" t="str">
        <f t="shared" si="4"/>
        <v/>
      </c>
      <c r="P310" s="26" t="str">
        <f t="shared" si="5"/>
        <v/>
      </c>
      <c r="Q310" s="25" t="str">
        <f t="shared" si="6"/>
        <v/>
      </c>
      <c r="R310" s="25" t="str">
        <f t="shared" si="7"/>
        <v/>
      </c>
    </row>
    <row r="311" ht="15.75" customHeight="1">
      <c r="C311" s="47"/>
      <c r="D311" s="47"/>
      <c r="E311" s="47"/>
      <c r="F311" s="47"/>
      <c r="G311" s="47"/>
      <c r="H311" s="47"/>
      <c r="J311" s="47"/>
      <c r="L311" s="25" t="str">
        <f t="shared" si="1"/>
        <v/>
      </c>
      <c r="M311" s="25" t="str">
        <f t="shared" si="2"/>
        <v/>
      </c>
      <c r="N311" s="25" t="str">
        <f t="shared" si="3"/>
        <v/>
      </c>
      <c r="O311" s="25" t="str">
        <f t="shared" si="4"/>
        <v/>
      </c>
      <c r="P311" s="26" t="str">
        <f t="shared" si="5"/>
        <v/>
      </c>
      <c r="Q311" s="25" t="str">
        <f t="shared" si="6"/>
        <v/>
      </c>
      <c r="R311" s="25" t="str">
        <f t="shared" si="7"/>
        <v/>
      </c>
    </row>
    <row r="312" ht="15.75" customHeight="1">
      <c r="C312" s="47"/>
      <c r="D312" s="47"/>
      <c r="E312" s="47"/>
      <c r="F312" s="47"/>
      <c r="G312" s="47"/>
      <c r="H312" s="47"/>
      <c r="J312" s="47"/>
      <c r="L312" s="25" t="str">
        <f t="shared" si="1"/>
        <v/>
      </c>
      <c r="M312" s="25" t="str">
        <f t="shared" si="2"/>
        <v/>
      </c>
      <c r="N312" s="25" t="str">
        <f t="shared" si="3"/>
        <v/>
      </c>
      <c r="O312" s="25" t="str">
        <f t="shared" si="4"/>
        <v/>
      </c>
      <c r="P312" s="26" t="str">
        <f t="shared" si="5"/>
        <v/>
      </c>
      <c r="Q312" s="25" t="str">
        <f t="shared" si="6"/>
        <v/>
      </c>
      <c r="R312" s="25" t="str">
        <f t="shared" si="7"/>
        <v/>
      </c>
    </row>
    <row r="313" ht="15.75" customHeight="1">
      <c r="C313" s="47"/>
      <c r="D313" s="47"/>
      <c r="E313" s="47"/>
      <c r="F313" s="47"/>
      <c r="G313" s="47"/>
      <c r="H313" s="47"/>
      <c r="J313" s="47"/>
      <c r="L313" s="25" t="str">
        <f t="shared" si="1"/>
        <v/>
      </c>
      <c r="M313" s="25" t="str">
        <f t="shared" si="2"/>
        <v/>
      </c>
      <c r="N313" s="25" t="str">
        <f t="shared" si="3"/>
        <v/>
      </c>
      <c r="O313" s="25" t="str">
        <f t="shared" si="4"/>
        <v/>
      </c>
      <c r="P313" s="26" t="str">
        <f t="shared" si="5"/>
        <v/>
      </c>
      <c r="Q313" s="25" t="str">
        <f t="shared" si="6"/>
        <v/>
      </c>
      <c r="R313" s="25" t="str">
        <f t="shared" si="7"/>
        <v/>
      </c>
    </row>
    <row r="314" ht="15.75" customHeight="1">
      <c r="C314" s="47"/>
      <c r="D314" s="47"/>
      <c r="E314" s="47"/>
      <c r="F314" s="47"/>
      <c r="G314" s="47"/>
      <c r="H314" s="47"/>
      <c r="J314" s="47"/>
      <c r="L314" s="25" t="str">
        <f t="shared" si="1"/>
        <v/>
      </c>
      <c r="M314" s="25" t="str">
        <f t="shared" si="2"/>
        <v/>
      </c>
      <c r="N314" s="25" t="str">
        <f t="shared" si="3"/>
        <v/>
      </c>
      <c r="O314" s="25" t="str">
        <f t="shared" si="4"/>
        <v/>
      </c>
      <c r="P314" s="26" t="str">
        <f t="shared" si="5"/>
        <v/>
      </c>
      <c r="Q314" s="25" t="str">
        <f t="shared" si="6"/>
        <v/>
      </c>
      <c r="R314" s="25" t="str">
        <f t="shared" si="7"/>
        <v/>
      </c>
    </row>
    <row r="315" ht="15.75" customHeight="1">
      <c r="C315" s="47"/>
      <c r="D315" s="47"/>
      <c r="E315" s="47"/>
      <c r="F315" s="47"/>
      <c r="G315" s="47"/>
      <c r="H315" s="47"/>
      <c r="J315" s="47"/>
      <c r="L315" s="25" t="str">
        <f t="shared" si="1"/>
        <v/>
      </c>
      <c r="M315" s="25" t="str">
        <f t="shared" si="2"/>
        <v/>
      </c>
      <c r="N315" s="25" t="str">
        <f t="shared" si="3"/>
        <v/>
      </c>
      <c r="O315" s="25" t="str">
        <f t="shared" si="4"/>
        <v/>
      </c>
      <c r="P315" s="26" t="str">
        <f t="shared" si="5"/>
        <v/>
      </c>
      <c r="Q315" s="25" t="str">
        <f t="shared" si="6"/>
        <v/>
      </c>
      <c r="R315" s="25" t="str">
        <f t="shared" si="7"/>
        <v/>
      </c>
    </row>
    <row r="316" ht="15.75" customHeight="1">
      <c r="C316" s="47"/>
      <c r="D316" s="47"/>
      <c r="E316" s="47"/>
      <c r="F316" s="47"/>
      <c r="G316" s="47"/>
      <c r="H316" s="47"/>
      <c r="J316" s="47"/>
      <c r="L316" s="25" t="str">
        <f t="shared" si="1"/>
        <v/>
      </c>
      <c r="M316" s="25" t="str">
        <f t="shared" si="2"/>
        <v/>
      </c>
      <c r="N316" s="25" t="str">
        <f t="shared" si="3"/>
        <v/>
      </c>
      <c r="O316" s="25" t="str">
        <f t="shared" si="4"/>
        <v/>
      </c>
      <c r="P316" s="26" t="str">
        <f t="shared" si="5"/>
        <v/>
      </c>
      <c r="Q316" s="25" t="str">
        <f t="shared" si="6"/>
        <v/>
      </c>
      <c r="R316" s="25" t="str">
        <f t="shared" si="7"/>
        <v/>
      </c>
    </row>
    <row r="317" ht="15.75" customHeight="1">
      <c r="C317" s="47"/>
      <c r="D317" s="47"/>
      <c r="E317" s="47"/>
      <c r="F317" s="47"/>
      <c r="G317" s="47"/>
      <c r="H317" s="47"/>
      <c r="J317" s="47"/>
      <c r="L317" s="25" t="str">
        <f t="shared" si="1"/>
        <v/>
      </c>
      <c r="M317" s="25" t="str">
        <f t="shared" si="2"/>
        <v/>
      </c>
      <c r="N317" s="25" t="str">
        <f t="shared" si="3"/>
        <v/>
      </c>
      <c r="O317" s="25" t="str">
        <f t="shared" si="4"/>
        <v/>
      </c>
      <c r="P317" s="26" t="str">
        <f t="shared" si="5"/>
        <v/>
      </c>
      <c r="Q317" s="25" t="str">
        <f t="shared" si="6"/>
        <v/>
      </c>
      <c r="R317" s="25" t="str">
        <f t="shared" si="7"/>
        <v/>
      </c>
    </row>
    <row r="318" ht="15.75" customHeight="1">
      <c r="C318" s="47"/>
      <c r="D318" s="47"/>
      <c r="E318" s="47"/>
      <c r="F318" s="47"/>
      <c r="G318" s="47"/>
      <c r="H318" s="47"/>
      <c r="J318" s="47"/>
      <c r="L318" s="25" t="str">
        <f t="shared" si="1"/>
        <v/>
      </c>
      <c r="M318" s="25" t="str">
        <f t="shared" si="2"/>
        <v/>
      </c>
      <c r="N318" s="25" t="str">
        <f t="shared" si="3"/>
        <v/>
      </c>
      <c r="O318" s="25" t="str">
        <f t="shared" si="4"/>
        <v/>
      </c>
      <c r="P318" s="26" t="str">
        <f t="shared" si="5"/>
        <v/>
      </c>
      <c r="Q318" s="25" t="str">
        <f t="shared" si="6"/>
        <v/>
      </c>
      <c r="R318" s="25" t="str">
        <f t="shared" si="7"/>
        <v/>
      </c>
    </row>
    <row r="319" ht="15.75" customHeight="1">
      <c r="C319" s="47"/>
      <c r="D319" s="47"/>
      <c r="E319" s="47"/>
      <c r="F319" s="47"/>
      <c r="G319" s="47"/>
      <c r="H319" s="47"/>
      <c r="J319" s="47"/>
      <c r="L319" s="25" t="str">
        <f t="shared" si="1"/>
        <v/>
      </c>
      <c r="M319" s="25" t="str">
        <f t="shared" si="2"/>
        <v/>
      </c>
      <c r="N319" s="25" t="str">
        <f t="shared" si="3"/>
        <v/>
      </c>
      <c r="O319" s="25" t="str">
        <f t="shared" si="4"/>
        <v/>
      </c>
      <c r="P319" s="26" t="str">
        <f t="shared" si="5"/>
        <v/>
      </c>
      <c r="Q319" s="25" t="str">
        <f t="shared" si="6"/>
        <v/>
      </c>
      <c r="R319" s="25" t="str">
        <f t="shared" si="7"/>
        <v/>
      </c>
    </row>
    <row r="320" ht="15.75" customHeight="1">
      <c r="C320" s="47"/>
      <c r="D320" s="47"/>
      <c r="E320" s="47"/>
      <c r="F320" s="47"/>
      <c r="G320" s="47"/>
      <c r="H320" s="47"/>
      <c r="J320" s="47"/>
      <c r="L320" s="25" t="str">
        <f t="shared" si="1"/>
        <v/>
      </c>
      <c r="M320" s="25" t="str">
        <f t="shared" si="2"/>
        <v/>
      </c>
      <c r="N320" s="25" t="str">
        <f t="shared" si="3"/>
        <v/>
      </c>
      <c r="O320" s="25" t="str">
        <f t="shared" si="4"/>
        <v/>
      </c>
      <c r="P320" s="26" t="str">
        <f t="shared" si="5"/>
        <v/>
      </c>
      <c r="Q320" s="25" t="str">
        <f t="shared" si="6"/>
        <v/>
      </c>
      <c r="R320" s="25" t="str">
        <f t="shared" si="7"/>
        <v/>
      </c>
    </row>
    <row r="321" ht="15.75" customHeight="1">
      <c r="C321" s="47"/>
      <c r="D321" s="47"/>
      <c r="E321" s="47"/>
      <c r="F321" s="47"/>
      <c r="G321" s="47"/>
      <c r="H321" s="47"/>
      <c r="J321" s="47"/>
      <c r="L321" s="25" t="str">
        <f t="shared" si="1"/>
        <v/>
      </c>
      <c r="M321" s="25" t="str">
        <f t="shared" si="2"/>
        <v/>
      </c>
      <c r="N321" s="25" t="str">
        <f t="shared" si="3"/>
        <v/>
      </c>
      <c r="O321" s="25" t="str">
        <f t="shared" si="4"/>
        <v/>
      </c>
      <c r="P321" s="26" t="str">
        <f t="shared" si="5"/>
        <v/>
      </c>
      <c r="Q321" s="25" t="str">
        <f t="shared" si="6"/>
        <v/>
      </c>
      <c r="R321" s="25" t="str">
        <f t="shared" si="7"/>
        <v/>
      </c>
    </row>
    <row r="322" ht="15.75" customHeight="1">
      <c r="C322" s="47"/>
      <c r="D322" s="47"/>
      <c r="E322" s="47"/>
      <c r="F322" s="47"/>
      <c r="G322" s="47"/>
      <c r="H322" s="47"/>
      <c r="J322" s="47"/>
      <c r="L322" s="25" t="str">
        <f t="shared" si="1"/>
        <v/>
      </c>
      <c r="M322" s="25" t="str">
        <f t="shared" si="2"/>
        <v/>
      </c>
      <c r="N322" s="25" t="str">
        <f t="shared" si="3"/>
        <v/>
      </c>
      <c r="O322" s="25" t="str">
        <f t="shared" si="4"/>
        <v/>
      </c>
      <c r="P322" s="26" t="str">
        <f t="shared" si="5"/>
        <v/>
      </c>
      <c r="Q322" s="25" t="str">
        <f t="shared" si="6"/>
        <v/>
      </c>
      <c r="R322" s="25" t="str">
        <f t="shared" si="7"/>
        <v/>
      </c>
    </row>
    <row r="323" ht="15.75" customHeight="1">
      <c r="C323" s="47"/>
      <c r="D323" s="47"/>
      <c r="E323" s="47"/>
      <c r="F323" s="47"/>
      <c r="G323" s="47"/>
      <c r="H323" s="47"/>
      <c r="J323" s="47"/>
      <c r="L323" s="25" t="str">
        <f t="shared" si="1"/>
        <v/>
      </c>
      <c r="M323" s="25" t="str">
        <f t="shared" si="2"/>
        <v/>
      </c>
      <c r="N323" s="25" t="str">
        <f t="shared" si="3"/>
        <v/>
      </c>
      <c r="O323" s="25" t="str">
        <f t="shared" si="4"/>
        <v/>
      </c>
      <c r="P323" s="26" t="str">
        <f t="shared" si="5"/>
        <v/>
      </c>
      <c r="Q323" s="25" t="str">
        <f t="shared" si="6"/>
        <v/>
      </c>
      <c r="R323" s="25" t="str">
        <f t="shared" si="7"/>
        <v/>
      </c>
    </row>
    <row r="324" ht="15.75" customHeight="1">
      <c r="C324" s="47"/>
      <c r="D324" s="47"/>
      <c r="E324" s="47"/>
      <c r="F324" s="47"/>
      <c r="G324" s="47"/>
      <c r="H324" s="47"/>
      <c r="J324" s="47"/>
      <c r="L324" s="25" t="str">
        <f t="shared" si="1"/>
        <v/>
      </c>
      <c r="M324" s="25" t="str">
        <f t="shared" si="2"/>
        <v/>
      </c>
      <c r="N324" s="25" t="str">
        <f t="shared" si="3"/>
        <v/>
      </c>
      <c r="O324" s="25" t="str">
        <f t="shared" si="4"/>
        <v/>
      </c>
      <c r="P324" s="26" t="str">
        <f t="shared" si="5"/>
        <v/>
      </c>
      <c r="Q324" s="25" t="str">
        <f t="shared" si="6"/>
        <v/>
      </c>
      <c r="R324" s="25" t="str">
        <f t="shared" si="7"/>
        <v/>
      </c>
    </row>
    <row r="325" ht="15.75" customHeight="1">
      <c r="C325" s="47"/>
      <c r="D325" s="47"/>
      <c r="E325" s="47"/>
      <c r="F325" s="47"/>
      <c r="G325" s="47"/>
      <c r="H325" s="47"/>
      <c r="J325" s="47"/>
      <c r="L325" s="25" t="str">
        <f t="shared" si="1"/>
        <v/>
      </c>
      <c r="M325" s="25" t="str">
        <f t="shared" si="2"/>
        <v/>
      </c>
      <c r="N325" s="25" t="str">
        <f t="shared" si="3"/>
        <v/>
      </c>
      <c r="O325" s="25" t="str">
        <f t="shared" si="4"/>
        <v/>
      </c>
      <c r="P325" s="26" t="str">
        <f t="shared" si="5"/>
        <v/>
      </c>
      <c r="Q325" s="25" t="str">
        <f t="shared" si="6"/>
        <v/>
      </c>
      <c r="R325" s="25" t="str">
        <f t="shared" si="7"/>
        <v/>
      </c>
    </row>
    <row r="326" ht="15.75" customHeight="1">
      <c r="C326" s="47"/>
      <c r="D326" s="47"/>
      <c r="E326" s="47"/>
      <c r="F326" s="47"/>
      <c r="G326" s="47"/>
      <c r="H326" s="47"/>
      <c r="J326" s="47"/>
      <c r="L326" s="25" t="str">
        <f t="shared" si="1"/>
        <v/>
      </c>
      <c r="M326" s="25" t="str">
        <f t="shared" si="2"/>
        <v/>
      </c>
      <c r="N326" s="25" t="str">
        <f t="shared" si="3"/>
        <v/>
      </c>
      <c r="O326" s="25" t="str">
        <f t="shared" si="4"/>
        <v/>
      </c>
      <c r="P326" s="26" t="str">
        <f t="shared" si="5"/>
        <v/>
      </c>
      <c r="Q326" s="25" t="str">
        <f t="shared" si="6"/>
        <v/>
      </c>
      <c r="R326" s="25" t="str">
        <f t="shared" si="7"/>
        <v/>
      </c>
    </row>
    <row r="327" ht="15.75" customHeight="1">
      <c r="C327" s="47"/>
      <c r="D327" s="47"/>
      <c r="E327" s="47"/>
      <c r="F327" s="47"/>
      <c r="G327" s="47"/>
      <c r="H327" s="47"/>
      <c r="J327" s="47"/>
      <c r="L327" s="25" t="str">
        <f t="shared" si="1"/>
        <v/>
      </c>
      <c r="M327" s="25" t="str">
        <f t="shared" si="2"/>
        <v/>
      </c>
      <c r="N327" s="25" t="str">
        <f t="shared" si="3"/>
        <v/>
      </c>
      <c r="O327" s="25" t="str">
        <f t="shared" si="4"/>
        <v/>
      </c>
      <c r="P327" s="26" t="str">
        <f t="shared" si="5"/>
        <v/>
      </c>
      <c r="Q327" s="25" t="str">
        <f t="shared" si="6"/>
        <v/>
      </c>
      <c r="R327" s="25" t="str">
        <f t="shared" si="7"/>
        <v/>
      </c>
    </row>
    <row r="328" ht="15.75" customHeight="1">
      <c r="C328" s="47"/>
      <c r="D328" s="47"/>
      <c r="E328" s="47"/>
      <c r="F328" s="47"/>
      <c r="G328" s="47"/>
      <c r="H328" s="47"/>
      <c r="J328" s="47"/>
      <c r="L328" s="25" t="str">
        <f t="shared" si="1"/>
        <v/>
      </c>
      <c r="M328" s="25" t="str">
        <f t="shared" si="2"/>
        <v/>
      </c>
      <c r="N328" s="25" t="str">
        <f t="shared" si="3"/>
        <v/>
      </c>
      <c r="O328" s="25" t="str">
        <f t="shared" si="4"/>
        <v/>
      </c>
      <c r="P328" s="26" t="str">
        <f t="shared" si="5"/>
        <v/>
      </c>
      <c r="Q328" s="25" t="str">
        <f t="shared" si="6"/>
        <v/>
      </c>
      <c r="R328" s="25" t="str">
        <f t="shared" si="7"/>
        <v/>
      </c>
    </row>
    <row r="329" ht="15.75" customHeight="1">
      <c r="C329" s="47"/>
      <c r="D329" s="47"/>
      <c r="E329" s="47"/>
      <c r="F329" s="47"/>
      <c r="G329" s="47"/>
      <c r="H329" s="47"/>
      <c r="J329" s="47"/>
      <c r="L329" s="25" t="str">
        <f t="shared" si="1"/>
        <v/>
      </c>
      <c r="M329" s="25" t="str">
        <f t="shared" si="2"/>
        <v/>
      </c>
      <c r="N329" s="25" t="str">
        <f t="shared" si="3"/>
        <v/>
      </c>
      <c r="O329" s="25" t="str">
        <f t="shared" si="4"/>
        <v/>
      </c>
      <c r="P329" s="26" t="str">
        <f t="shared" si="5"/>
        <v/>
      </c>
      <c r="Q329" s="25" t="str">
        <f t="shared" si="6"/>
        <v/>
      </c>
      <c r="R329" s="25" t="str">
        <f t="shared" si="7"/>
        <v/>
      </c>
    </row>
    <row r="330" ht="15.75" customHeight="1">
      <c r="C330" s="47"/>
      <c r="D330" s="47"/>
      <c r="E330" s="47"/>
      <c r="F330" s="47"/>
      <c r="G330" s="47"/>
      <c r="H330" s="47"/>
      <c r="J330" s="47"/>
      <c r="L330" s="25" t="str">
        <f t="shared" si="1"/>
        <v/>
      </c>
      <c r="M330" s="25" t="str">
        <f t="shared" si="2"/>
        <v/>
      </c>
      <c r="N330" s="25" t="str">
        <f t="shared" si="3"/>
        <v/>
      </c>
      <c r="O330" s="25" t="str">
        <f t="shared" si="4"/>
        <v/>
      </c>
      <c r="P330" s="26" t="str">
        <f t="shared" si="5"/>
        <v/>
      </c>
      <c r="Q330" s="25" t="str">
        <f t="shared" si="6"/>
        <v/>
      </c>
      <c r="R330" s="25" t="str">
        <f t="shared" si="7"/>
        <v/>
      </c>
    </row>
    <row r="331" ht="15.75" customHeight="1">
      <c r="C331" s="47"/>
      <c r="D331" s="47"/>
      <c r="E331" s="47"/>
      <c r="F331" s="47"/>
      <c r="G331" s="47"/>
      <c r="H331" s="47"/>
      <c r="J331" s="47"/>
      <c r="L331" s="25" t="str">
        <f t="shared" si="1"/>
        <v/>
      </c>
      <c r="M331" s="25" t="str">
        <f t="shared" si="2"/>
        <v/>
      </c>
      <c r="N331" s="25" t="str">
        <f t="shared" si="3"/>
        <v/>
      </c>
      <c r="O331" s="25" t="str">
        <f t="shared" si="4"/>
        <v/>
      </c>
      <c r="P331" s="26" t="str">
        <f t="shared" si="5"/>
        <v/>
      </c>
      <c r="Q331" s="25" t="str">
        <f t="shared" si="6"/>
        <v/>
      </c>
      <c r="R331" s="25" t="str">
        <f t="shared" si="7"/>
        <v/>
      </c>
    </row>
    <row r="332" ht="15.75" customHeight="1">
      <c r="C332" s="47"/>
      <c r="D332" s="47"/>
      <c r="E332" s="47"/>
      <c r="F332" s="47"/>
      <c r="G332" s="47"/>
      <c r="H332" s="47"/>
      <c r="J332" s="47"/>
      <c r="L332" s="25" t="str">
        <f t="shared" si="1"/>
        <v/>
      </c>
      <c r="M332" s="25" t="str">
        <f t="shared" si="2"/>
        <v/>
      </c>
      <c r="N332" s="25" t="str">
        <f t="shared" si="3"/>
        <v/>
      </c>
      <c r="O332" s="25" t="str">
        <f t="shared" si="4"/>
        <v/>
      </c>
      <c r="P332" s="26" t="str">
        <f t="shared" si="5"/>
        <v/>
      </c>
      <c r="Q332" s="25" t="str">
        <f t="shared" si="6"/>
        <v/>
      </c>
      <c r="R332" s="25" t="str">
        <f t="shared" si="7"/>
        <v/>
      </c>
    </row>
    <row r="333" ht="15.75" customHeight="1">
      <c r="C333" s="47"/>
      <c r="D333" s="47"/>
      <c r="E333" s="47"/>
      <c r="F333" s="47"/>
      <c r="G333" s="47"/>
      <c r="H333" s="47"/>
      <c r="J333" s="47"/>
      <c r="L333" s="25" t="str">
        <f t="shared" si="1"/>
        <v/>
      </c>
      <c r="M333" s="25" t="str">
        <f t="shared" si="2"/>
        <v/>
      </c>
      <c r="N333" s="25" t="str">
        <f t="shared" si="3"/>
        <v/>
      </c>
      <c r="O333" s="25" t="str">
        <f t="shared" si="4"/>
        <v/>
      </c>
      <c r="P333" s="26" t="str">
        <f t="shared" si="5"/>
        <v/>
      </c>
      <c r="Q333" s="25" t="str">
        <f t="shared" si="6"/>
        <v/>
      </c>
      <c r="R333" s="25" t="str">
        <f t="shared" si="7"/>
        <v/>
      </c>
    </row>
    <row r="334" ht="15.75" customHeight="1">
      <c r="C334" s="47"/>
      <c r="D334" s="47"/>
      <c r="E334" s="47"/>
      <c r="F334" s="47"/>
      <c r="G334" s="47"/>
      <c r="H334" s="47"/>
      <c r="J334" s="47"/>
      <c r="L334" s="25" t="str">
        <f t="shared" si="1"/>
        <v/>
      </c>
      <c r="M334" s="25" t="str">
        <f t="shared" si="2"/>
        <v/>
      </c>
      <c r="N334" s="25" t="str">
        <f t="shared" si="3"/>
        <v/>
      </c>
      <c r="O334" s="25" t="str">
        <f t="shared" si="4"/>
        <v/>
      </c>
      <c r="P334" s="26" t="str">
        <f t="shared" si="5"/>
        <v/>
      </c>
      <c r="Q334" s="25" t="str">
        <f t="shared" si="6"/>
        <v/>
      </c>
      <c r="R334" s="25" t="str">
        <f t="shared" si="7"/>
        <v/>
      </c>
    </row>
    <row r="335" ht="15.75" customHeight="1">
      <c r="C335" s="47"/>
      <c r="D335" s="47"/>
      <c r="E335" s="47"/>
      <c r="F335" s="47"/>
      <c r="G335" s="47"/>
      <c r="H335" s="47"/>
      <c r="J335" s="47"/>
      <c r="L335" s="25" t="str">
        <f t="shared" si="1"/>
        <v/>
      </c>
      <c r="M335" s="25" t="str">
        <f t="shared" si="2"/>
        <v/>
      </c>
      <c r="N335" s="25" t="str">
        <f t="shared" si="3"/>
        <v/>
      </c>
      <c r="O335" s="25" t="str">
        <f t="shared" si="4"/>
        <v/>
      </c>
      <c r="P335" s="26" t="str">
        <f t="shared" si="5"/>
        <v/>
      </c>
      <c r="Q335" s="25" t="str">
        <f t="shared" si="6"/>
        <v/>
      </c>
      <c r="R335" s="25" t="str">
        <f t="shared" si="7"/>
        <v/>
      </c>
    </row>
    <row r="336" ht="15.75" customHeight="1">
      <c r="C336" s="47"/>
      <c r="D336" s="47"/>
      <c r="E336" s="47"/>
      <c r="F336" s="47"/>
      <c r="G336" s="47"/>
      <c r="H336" s="47"/>
      <c r="J336" s="47"/>
      <c r="L336" s="25" t="str">
        <f t="shared" si="1"/>
        <v/>
      </c>
      <c r="M336" s="25" t="str">
        <f t="shared" si="2"/>
        <v/>
      </c>
      <c r="N336" s="25" t="str">
        <f t="shared" si="3"/>
        <v/>
      </c>
      <c r="O336" s="25" t="str">
        <f t="shared" si="4"/>
        <v/>
      </c>
      <c r="P336" s="26" t="str">
        <f t="shared" si="5"/>
        <v/>
      </c>
      <c r="Q336" s="25" t="str">
        <f t="shared" si="6"/>
        <v/>
      </c>
      <c r="R336" s="25" t="str">
        <f t="shared" si="7"/>
        <v/>
      </c>
    </row>
    <row r="337" ht="15.75" customHeight="1">
      <c r="C337" s="47"/>
      <c r="D337" s="47"/>
      <c r="E337" s="47"/>
      <c r="F337" s="47"/>
      <c r="G337" s="47"/>
      <c r="H337" s="47"/>
      <c r="J337" s="47"/>
      <c r="L337" s="25" t="str">
        <f t="shared" si="1"/>
        <v/>
      </c>
      <c r="M337" s="25" t="str">
        <f t="shared" si="2"/>
        <v/>
      </c>
      <c r="N337" s="25" t="str">
        <f t="shared" si="3"/>
        <v/>
      </c>
      <c r="O337" s="25" t="str">
        <f t="shared" si="4"/>
        <v/>
      </c>
      <c r="P337" s="26" t="str">
        <f t="shared" si="5"/>
        <v/>
      </c>
      <c r="Q337" s="25" t="str">
        <f t="shared" si="6"/>
        <v/>
      </c>
      <c r="R337" s="25" t="str">
        <f t="shared" si="7"/>
        <v/>
      </c>
    </row>
    <row r="338" ht="15.75" customHeight="1">
      <c r="C338" s="47"/>
      <c r="D338" s="47"/>
      <c r="E338" s="47"/>
      <c r="F338" s="47"/>
      <c r="G338" s="47"/>
      <c r="H338" s="47"/>
      <c r="J338" s="47"/>
      <c r="L338" s="25" t="str">
        <f t="shared" si="1"/>
        <v/>
      </c>
      <c r="M338" s="25" t="str">
        <f t="shared" si="2"/>
        <v/>
      </c>
      <c r="N338" s="25" t="str">
        <f t="shared" si="3"/>
        <v/>
      </c>
      <c r="O338" s="25" t="str">
        <f t="shared" si="4"/>
        <v/>
      </c>
      <c r="P338" s="26" t="str">
        <f t="shared" si="5"/>
        <v/>
      </c>
      <c r="Q338" s="25" t="str">
        <f t="shared" si="6"/>
        <v/>
      </c>
      <c r="R338" s="25" t="str">
        <f t="shared" si="7"/>
        <v/>
      </c>
    </row>
    <row r="339" ht="15.75" customHeight="1">
      <c r="C339" s="47"/>
      <c r="D339" s="47"/>
      <c r="E339" s="47"/>
      <c r="F339" s="47"/>
      <c r="G339" s="47"/>
      <c r="H339" s="47"/>
      <c r="J339" s="47"/>
      <c r="L339" s="25" t="str">
        <f t="shared" si="1"/>
        <v/>
      </c>
      <c r="M339" s="25" t="str">
        <f t="shared" si="2"/>
        <v/>
      </c>
      <c r="N339" s="25" t="str">
        <f t="shared" si="3"/>
        <v/>
      </c>
      <c r="O339" s="25" t="str">
        <f t="shared" si="4"/>
        <v/>
      </c>
      <c r="P339" s="26" t="str">
        <f t="shared" si="5"/>
        <v/>
      </c>
      <c r="Q339" s="25" t="str">
        <f t="shared" si="6"/>
        <v/>
      </c>
      <c r="R339" s="25" t="str">
        <f t="shared" si="7"/>
        <v/>
      </c>
    </row>
    <row r="340" ht="15.75" customHeight="1">
      <c r="C340" s="47"/>
      <c r="D340" s="47"/>
      <c r="E340" s="47"/>
      <c r="F340" s="47"/>
      <c r="G340" s="47"/>
      <c r="H340" s="47"/>
      <c r="J340" s="47"/>
      <c r="L340" s="25" t="str">
        <f t="shared" si="1"/>
        <v/>
      </c>
      <c r="M340" s="25" t="str">
        <f t="shared" si="2"/>
        <v/>
      </c>
      <c r="N340" s="25" t="str">
        <f t="shared" si="3"/>
        <v/>
      </c>
      <c r="O340" s="25" t="str">
        <f t="shared" si="4"/>
        <v/>
      </c>
      <c r="P340" s="26" t="str">
        <f t="shared" si="5"/>
        <v/>
      </c>
      <c r="Q340" s="25" t="str">
        <f t="shared" si="6"/>
        <v/>
      </c>
      <c r="R340" s="25" t="str">
        <f t="shared" si="7"/>
        <v/>
      </c>
    </row>
    <row r="341" ht="15.75" customHeight="1">
      <c r="C341" s="47"/>
      <c r="D341" s="47"/>
      <c r="E341" s="47"/>
      <c r="F341" s="47"/>
      <c r="G341" s="47"/>
      <c r="H341" s="47"/>
      <c r="J341" s="47"/>
      <c r="L341" s="25" t="str">
        <f t="shared" si="1"/>
        <v/>
      </c>
      <c r="M341" s="25" t="str">
        <f t="shared" si="2"/>
        <v/>
      </c>
      <c r="N341" s="25" t="str">
        <f t="shared" si="3"/>
        <v/>
      </c>
      <c r="O341" s="25" t="str">
        <f t="shared" si="4"/>
        <v/>
      </c>
      <c r="P341" s="26" t="str">
        <f t="shared" si="5"/>
        <v/>
      </c>
      <c r="Q341" s="25" t="str">
        <f t="shared" si="6"/>
        <v/>
      </c>
      <c r="R341" s="25" t="str">
        <f t="shared" si="7"/>
        <v/>
      </c>
    </row>
    <row r="342" ht="15.75" customHeight="1">
      <c r="C342" s="47"/>
      <c r="D342" s="47"/>
      <c r="E342" s="47"/>
      <c r="F342" s="47"/>
      <c r="G342" s="47"/>
      <c r="H342" s="47"/>
      <c r="J342" s="47"/>
      <c r="L342" s="25" t="str">
        <f t="shared" si="1"/>
        <v/>
      </c>
      <c r="M342" s="25" t="str">
        <f t="shared" si="2"/>
        <v/>
      </c>
      <c r="N342" s="25" t="str">
        <f t="shared" si="3"/>
        <v/>
      </c>
      <c r="O342" s="25" t="str">
        <f t="shared" si="4"/>
        <v/>
      </c>
      <c r="P342" s="26" t="str">
        <f t="shared" si="5"/>
        <v/>
      </c>
      <c r="Q342" s="25" t="str">
        <f t="shared" si="6"/>
        <v/>
      </c>
      <c r="R342" s="25" t="str">
        <f t="shared" si="7"/>
        <v/>
      </c>
    </row>
    <row r="343" ht="15.75" customHeight="1">
      <c r="C343" s="47"/>
      <c r="D343" s="47"/>
      <c r="E343" s="47"/>
      <c r="F343" s="47"/>
      <c r="G343" s="47"/>
      <c r="H343" s="47"/>
      <c r="J343" s="47"/>
      <c r="L343" s="25" t="str">
        <f t="shared" si="1"/>
        <v/>
      </c>
      <c r="M343" s="25" t="str">
        <f t="shared" si="2"/>
        <v/>
      </c>
      <c r="N343" s="25" t="str">
        <f t="shared" si="3"/>
        <v/>
      </c>
      <c r="O343" s="25" t="str">
        <f t="shared" si="4"/>
        <v/>
      </c>
      <c r="P343" s="26" t="str">
        <f t="shared" si="5"/>
        <v/>
      </c>
      <c r="Q343" s="25" t="str">
        <f t="shared" si="6"/>
        <v/>
      </c>
      <c r="R343" s="25" t="str">
        <f t="shared" si="7"/>
        <v/>
      </c>
    </row>
    <row r="344" ht="15.75" customHeight="1">
      <c r="C344" s="47"/>
      <c r="D344" s="47"/>
      <c r="E344" s="47"/>
      <c r="F344" s="47"/>
      <c r="G344" s="47"/>
      <c r="H344" s="47"/>
      <c r="J344" s="47"/>
      <c r="L344" s="25" t="str">
        <f t="shared" si="1"/>
        <v/>
      </c>
      <c r="M344" s="25" t="str">
        <f t="shared" si="2"/>
        <v/>
      </c>
      <c r="N344" s="25" t="str">
        <f t="shared" si="3"/>
        <v/>
      </c>
      <c r="O344" s="25" t="str">
        <f t="shared" si="4"/>
        <v/>
      </c>
      <c r="P344" s="26" t="str">
        <f t="shared" si="5"/>
        <v/>
      </c>
      <c r="Q344" s="25" t="str">
        <f t="shared" si="6"/>
        <v/>
      </c>
      <c r="R344" s="25" t="str">
        <f t="shared" si="7"/>
        <v/>
      </c>
    </row>
    <row r="345" ht="15.75" customHeight="1">
      <c r="C345" s="47"/>
      <c r="D345" s="47"/>
      <c r="E345" s="47"/>
      <c r="F345" s="47"/>
      <c r="G345" s="47"/>
      <c r="H345" s="47"/>
      <c r="J345" s="47"/>
      <c r="L345" s="25" t="str">
        <f t="shared" si="1"/>
        <v/>
      </c>
      <c r="M345" s="25" t="str">
        <f t="shared" si="2"/>
        <v/>
      </c>
      <c r="N345" s="25" t="str">
        <f t="shared" si="3"/>
        <v/>
      </c>
      <c r="O345" s="25" t="str">
        <f t="shared" si="4"/>
        <v/>
      </c>
      <c r="P345" s="26" t="str">
        <f t="shared" si="5"/>
        <v/>
      </c>
      <c r="Q345" s="25" t="str">
        <f t="shared" si="6"/>
        <v/>
      </c>
      <c r="R345" s="25" t="str">
        <f t="shared" si="7"/>
        <v/>
      </c>
    </row>
    <row r="346" ht="15.75" customHeight="1">
      <c r="C346" s="47"/>
      <c r="D346" s="47"/>
      <c r="E346" s="47"/>
      <c r="F346" s="47"/>
      <c r="G346" s="47"/>
      <c r="H346" s="47"/>
      <c r="J346" s="47"/>
      <c r="L346" s="25" t="str">
        <f t="shared" si="1"/>
        <v/>
      </c>
      <c r="M346" s="25" t="str">
        <f t="shared" si="2"/>
        <v/>
      </c>
      <c r="N346" s="25" t="str">
        <f t="shared" si="3"/>
        <v/>
      </c>
      <c r="O346" s="25" t="str">
        <f t="shared" si="4"/>
        <v/>
      </c>
      <c r="P346" s="26" t="str">
        <f t="shared" si="5"/>
        <v/>
      </c>
      <c r="Q346" s="25" t="str">
        <f t="shared" si="6"/>
        <v/>
      </c>
      <c r="R346" s="25" t="str">
        <f t="shared" si="7"/>
        <v/>
      </c>
    </row>
    <row r="347" ht="15.75" customHeight="1">
      <c r="C347" s="47"/>
      <c r="D347" s="47"/>
      <c r="E347" s="47"/>
      <c r="F347" s="47"/>
      <c r="G347" s="47"/>
      <c r="H347" s="47"/>
      <c r="J347" s="47"/>
      <c r="L347" s="25" t="str">
        <f t="shared" si="1"/>
        <v/>
      </c>
      <c r="M347" s="25" t="str">
        <f t="shared" si="2"/>
        <v/>
      </c>
      <c r="N347" s="25" t="str">
        <f t="shared" si="3"/>
        <v/>
      </c>
      <c r="O347" s="25" t="str">
        <f t="shared" si="4"/>
        <v/>
      </c>
      <c r="P347" s="26" t="str">
        <f t="shared" si="5"/>
        <v/>
      </c>
      <c r="Q347" s="25" t="str">
        <f t="shared" si="6"/>
        <v/>
      </c>
      <c r="R347" s="25" t="str">
        <f t="shared" si="7"/>
        <v/>
      </c>
    </row>
    <row r="348" ht="15.75" customHeight="1">
      <c r="C348" s="47"/>
      <c r="D348" s="47"/>
      <c r="E348" s="47"/>
      <c r="F348" s="47"/>
      <c r="G348" s="47"/>
      <c r="H348" s="47"/>
      <c r="J348" s="47"/>
      <c r="L348" s="25" t="str">
        <f t="shared" si="1"/>
        <v/>
      </c>
      <c r="M348" s="25" t="str">
        <f t="shared" si="2"/>
        <v/>
      </c>
      <c r="N348" s="25" t="str">
        <f t="shared" si="3"/>
        <v/>
      </c>
      <c r="O348" s="25" t="str">
        <f t="shared" si="4"/>
        <v/>
      </c>
      <c r="P348" s="26" t="str">
        <f t="shared" si="5"/>
        <v/>
      </c>
      <c r="Q348" s="25" t="str">
        <f t="shared" si="6"/>
        <v/>
      </c>
      <c r="R348" s="25" t="str">
        <f t="shared" si="7"/>
        <v/>
      </c>
    </row>
    <row r="349" ht="15.75" customHeight="1">
      <c r="C349" s="47"/>
      <c r="D349" s="47"/>
      <c r="E349" s="47"/>
      <c r="F349" s="47"/>
      <c r="G349" s="47"/>
      <c r="H349" s="47"/>
      <c r="J349" s="47"/>
      <c r="L349" s="25" t="str">
        <f t="shared" si="1"/>
        <v/>
      </c>
      <c r="M349" s="25" t="str">
        <f t="shared" si="2"/>
        <v/>
      </c>
      <c r="N349" s="25" t="str">
        <f t="shared" si="3"/>
        <v/>
      </c>
      <c r="O349" s="25" t="str">
        <f t="shared" si="4"/>
        <v/>
      </c>
      <c r="P349" s="26" t="str">
        <f t="shared" si="5"/>
        <v/>
      </c>
      <c r="Q349" s="25" t="str">
        <f t="shared" si="6"/>
        <v/>
      </c>
      <c r="R349" s="25" t="str">
        <f t="shared" si="7"/>
        <v/>
      </c>
    </row>
    <row r="350" ht="15.75" customHeight="1">
      <c r="C350" s="47"/>
      <c r="D350" s="47"/>
      <c r="E350" s="47"/>
      <c r="F350" s="47"/>
      <c r="G350" s="47"/>
      <c r="H350" s="47"/>
      <c r="J350" s="47"/>
      <c r="L350" s="25" t="str">
        <f t="shared" si="1"/>
        <v/>
      </c>
      <c r="M350" s="25" t="str">
        <f t="shared" si="2"/>
        <v/>
      </c>
      <c r="N350" s="25" t="str">
        <f t="shared" si="3"/>
        <v/>
      </c>
      <c r="O350" s="25" t="str">
        <f t="shared" si="4"/>
        <v/>
      </c>
      <c r="P350" s="26" t="str">
        <f t="shared" si="5"/>
        <v/>
      </c>
      <c r="Q350" s="25" t="str">
        <f t="shared" si="6"/>
        <v/>
      </c>
      <c r="R350" s="25" t="str">
        <f t="shared" si="7"/>
        <v/>
      </c>
    </row>
    <row r="351" ht="15.75" customHeight="1">
      <c r="C351" s="47"/>
      <c r="D351" s="47"/>
      <c r="E351" s="47"/>
      <c r="F351" s="47"/>
      <c r="G351" s="47"/>
      <c r="H351" s="47"/>
      <c r="J351" s="47"/>
      <c r="L351" s="25" t="str">
        <f t="shared" si="1"/>
        <v/>
      </c>
      <c r="M351" s="25" t="str">
        <f t="shared" si="2"/>
        <v/>
      </c>
      <c r="N351" s="25" t="str">
        <f t="shared" si="3"/>
        <v/>
      </c>
      <c r="O351" s="25" t="str">
        <f t="shared" si="4"/>
        <v/>
      </c>
      <c r="P351" s="26" t="str">
        <f t="shared" si="5"/>
        <v/>
      </c>
      <c r="Q351" s="25" t="str">
        <f t="shared" si="6"/>
        <v/>
      </c>
      <c r="R351" s="25" t="str">
        <f t="shared" si="7"/>
        <v/>
      </c>
    </row>
    <row r="352" ht="15.75" customHeight="1">
      <c r="C352" s="47"/>
      <c r="D352" s="47"/>
      <c r="E352" s="47"/>
      <c r="F352" s="47"/>
      <c r="G352" s="47"/>
      <c r="H352" s="47"/>
      <c r="J352" s="47"/>
      <c r="L352" s="25" t="str">
        <f t="shared" si="1"/>
        <v/>
      </c>
      <c r="M352" s="25" t="str">
        <f t="shared" si="2"/>
        <v/>
      </c>
      <c r="N352" s="25" t="str">
        <f t="shared" si="3"/>
        <v/>
      </c>
      <c r="O352" s="25" t="str">
        <f t="shared" si="4"/>
        <v/>
      </c>
      <c r="P352" s="26" t="str">
        <f t="shared" si="5"/>
        <v/>
      </c>
      <c r="Q352" s="25" t="str">
        <f t="shared" si="6"/>
        <v/>
      </c>
      <c r="R352" s="25" t="str">
        <f t="shared" si="7"/>
        <v/>
      </c>
    </row>
    <row r="353" ht="15.75" customHeight="1">
      <c r="C353" s="47"/>
      <c r="D353" s="47"/>
      <c r="E353" s="47"/>
      <c r="F353" s="47"/>
      <c r="G353" s="47"/>
      <c r="H353" s="47"/>
      <c r="J353" s="47"/>
      <c r="L353" s="25" t="str">
        <f t="shared" si="1"/>
        <v/>
      </c>
      <c r="M353" s="25" t="str">
        <f t="shared" si="2"/>
        <v/>
      </c>
      <c r="N353" s="25" t="str">
        <f t="shared" si="3"/>
        <v/>
      </c>
      <c r="O353" s="25" t="str">
        <f t="shared" si="4"/>
        <v/>
      </c>
      <c r="P353" s="26" t="str">
        <f t="shared" si="5"/>
        <v/>
      </c>
      <c r="Q353" s="25" t="str">
        <f t="shared" si="6"/>
        <v/>
      </c>
      <c r="R353" s="25" t="str">
        <f t="shared" si="7"/>
        <v/>
      </c>
    </row>
    <row r="354" ht="15.75" customHeight="1">
      <c r="C354" s="47"/>
      <c r="D354" s="47"/>
      <c r="E354" s="47"/>
      <c r="F354" s="47"/>
      <c r="G354" s="47"/>
      <c r="H354" s="47"/>
      <c r="J354" s="47"/>
      <c r="L354" s="25" t="str">
        <f t="shared" si="1"/>
        <v/>
      </c>
      <c r="M354" s="25" t="str">
        <f t="shared" si="2"/>
        <v/>
      </c>
      <c r="N354" s="25" t="str">
        <f t="shared" si="3"/>
        <v/>
      </c>
      <c r="O354" s="25" t="str">
        <f t="shared" si="4"/>
        <v/>
      </c>
      <c r="P354" s="26" t="str">
        <f t="shared" si="5"/>
        <v/>
      </c>
      <c r="Q354" s="25" t="str">
        <f t="shared" si="6"/>
        <v/>
      </c>
      <c r="R354" s="25" t="str">
        <f t="shared" si="7"/>
        <v/>
      </c>
    </row>
    <row r="355" ht="15.75" customHeight="1">
      <c r="C355" s="47"/>
      <c r="D355" s="47"/>
      <c r="E355" s="47"/>
      <c r="F355" s="47"/>
      <c r="G355" s="47"/>
      <c r="H355" s="47"/>
      <c r="J355" s="47"/>
      <c r="L355" s="25" t="str">
        <f t="shared" si="1"/>
        <v/>
      </c>
      <c r="M355" s="25" t="str">
        <f t="shared" si="2"/>
        <v/>
      </c>
      <c r="N355" s="25" t="str">
        <f t="shared" si="3"/>
        <v/>
      </c>
      <c r="O355" s="25" t="str">
        <f t="shared" si="4"/>
        <v/>
      </c>
      <c r="P355" s="26" t="str">
        <f t="shared" si="5"/>
        <v/>
      </c>
      <c r="Q355" s="25" t="str">
        <f t="shared" si="6"/>
        <v/>
      </c>
      <c r="R355" s="25" t="str">
        <f t="shared" si="7"/>
        <v/>
      </c>
    </row>
    <row r="356" ht="15.75" customHeight="1">
      <c r="C356" s="47"/>
      <c r="D356" s="47"/>
      <c r="E356" s="47"/>
      <c r="F356" s="47"/>
      <c r="G356" s="47"/>
      <c r="H356" s="47"/>
      <c r="J356" s="47"/>
      <c r="L356" s="25" t="str">
        <f t="shared" si="1"/>
        <v/>
      </c>
      <c r="M356" s="25" t="str">
        <f t="shared" si="2"/>
        <v/>
      </c>
      <c r="N356" s="25" t="str">
        <f t="shared" si="3"/>
        <v/>
      </c>
      <c r="O356" s="25" t="str">
        <f t="shared" si="4"/>
        <v/>
      </c>
      <c r="P356" s="26" t="str">
        <f t="shared" si="5"/>
        <v/>
      </c>
      <c r="Q356" s="25" t="str">
        <f t="shared" si="6"/>
        <v/>
      </c>
      <c r="R356" s="25" t="str">
        <f t="shared" si="7"/>
        <v/>
      </c>
    </row>
    <row r="357" ht="15.75" customHeight="1">
      <c r="C357" s="47"/>
      <c r="D357" s="47"/>
      <c r="E357" s="47"/>
      <c r="F357" s="47"/>
      <c r="G357" s="47"/>
      <c r="H357" s="47"/>
      <c r="J357" s="47"/>
      <c r="L357" s="25" t="str">
        <f t="shared" si="1"/>
        <v/>
      </c>
      <c r="M357" s="25" t="str">
        <f t="shared" si="2"/>
        <v/>
      </c>
      <c r="N357" s="25" t="str">
        <f t="shared" si="3"/>
        <v/>
      </c>
      <c r="O357" s="25" t="str">
        <f t="shared" si="4"/>
        <v/>
      </c>
      <c r="P357" s="26" t="str">
        <f t="shared" si="5"/>
        <v/>
      </c>
      <c r="Q357" s="25" t="str">
        <f t="shared" si="6"/>
        <v/>
      </c>
      <c r="R357" s="25" t="str">
        <f t="shared" si="7"/>
        <v/>
      </c>
    </row>
    <row r="358" ht="15.75" customHeight="1">
      <c r="C358" s="47"/>
      <c r="D358" s="47"/>
      <c r="E358" s="47"/>
      <c r="F358" s="47"/>
      <c r="G358" s="47"/>
      <c r="H358" s="47"/>
      <c r="J358" s="47"/>
      <c r="L358" s="25" t="str">
        <f t="shared" si="1"/>
        <v/>
      </c>
      <c r="M358" s="25" t="str">
        <f t="shared" si="2"/>
        <v/>
      </c>
      <c r="N358" s="25" t="str">
        <f t="shared" si="3"/>
        <v/>
      </c>
      <c r="O358" s="25" t="str">
        <f t="shared" si="4"/>
        <v/>
      </c>
      <c r="P358" s="26" t="str">
        <f t="shared" si="5"/>
        <v/>
      </c>
      <c r="Q358" s="25" t="str">
        <f t="shared" si="6"/>
        <v/>
      </c>
      <c r="R358" s="25" t="str">
        <f t="shared" si="7"/>
        <v/>
      </c>
    </row>
    <row r="359" ht="15.75" customHeight="1">
      <c r="C359" s="47"/>
      <c r="D359" s="47"/>
      <c r="E359" s="47"/>
      <c r="F359" s="47"/>
      <c r="G359" s="47"/>
      <c r="H359" s="47"/>
      <c r="J359" s="47"/>
      <c r="L359" s="25" t="str">
        <f t="shared" si="1"/>
        <v/>
      </c>
      <c r="M359" s="25" t="str">
        <f t="shared" si="2"/>
        <v/>
      </c>
      <c r="N359" s="25" t="str">
        <f t="shared" si="3"/>
        <v/>
      </c>
      <c r="O359" s="25" t="str">
        <f t="shared" si="4"/>
        <v/>
      </c>
      <c r="P359" s="26" t="str">
        <f t="shared" si="5"/>
        <v/>
      </c>
      <c r="Q359" s="25" t="str">
        <f t="shared" si="6"/>
        <v/>
      </c>
      <c r="R359" s="25" t="str">
        <f t="shared" si="7"/>
        <v/>
      </c>
    </row>
    <row r="360" ht="15.75" customHeight="1">
      <c r="C360" s="47"/>
      <c r="D360" s="47"/>
      <c r="E360" s="47"/>
      <c r="F360" s="47"/>
      <c r="G360" s="47"/>
      <c r="H360" s="47"/>
      <c r="J360" s="47"/>
      <c r="L360" s="25" t="str">
        <f t="shared" si="1"/>
        <v/>
      </c>
      <c r="M360" s="25" t="str">
        <f t="shared" si="2"/>
        <v/>
      </c>
      <c r="N360" s="25" t="str">
        <f t="shared" si="3"/>
        <v/>
      </c>
      <c r="O360" s="25" t="str">
        <f t="shared" si="4"/>
        <v/>
      </c>
      <c r="P360" s="26" t="str">
        <f t="shared" si="5"/>
        <v/>
      </c>
      <c r="Q360" s="25" t="str">
        <f t="shared" si="6"/>
        <v/>
      </c>
      <c r="R360" s="25" t="str">
        <f t="shared" si="7"/>
        <v/>
      </c>
    </row>
    <row r="361" ht="15.75" customHeight="1">
      <c r="C361" s="47"/>
      <c r="D361" s="47"/>
      <c r="E361" s="47"/>
      <c r="F361" s="47"/>
      <c r="G361" s="47"/>
      <c r="H361" s="47"/>
      <c r="J361" s="47"/>
      <c r="L361" s="25" t="str">
        <f t="shared" si="1"/>
        <v/>
      </c>
      <c r="M361" s="25" t="str">
        <f t="shared" si="2"/>
        <v/>
      </c>
      <c r="N361" s="25" t="str">
        <f t="shared" si="3"/>
        <v/>
      </c>
      <c r="O361" s="25" t="str">
        <f t="shared" si="4"/>
        <v/>
      </c>
      <c r="P361" s="26" t="str">
        <f t="shared" si="5"/>
        <v/>
      </c>
      <c r="Q361" s="25" t="str">
        <f t="shared" si="6"/>
        <v/>
      </c>
      <c r="R361" s="25" t="str">
        <f t="shared" si="7"/>
        <v/>
      </c>
    </row>
    <row r="362" ht="15.75" customHeight="1">
      <c r="C362" s="47"/>
      <c r="D362" s="47"/>
      <c r="E362" s="47"/>
      <c r="F362" s="47"/>
      <c r="G362" s="47"/>
      <c r="H362" s="47"/>
      <c r="J362" s="47"/>
      <c r="L362" s="25" t="str">
        <f t="shared" si="1"/>
        <v/>
      </c>
      <c r="M362" s="25" t="str">
        <f t="shared" si="2"/>
        <v/>
      </c>
      <c r="N362" s="25" t="str">
        <f t="shared" si="3"/>
        <v/>
      </c>
      <c r="O362" s="25" t="str">
        <f t="shared" si="4"/>
        <v/>
      </c>
      <c r="P362" s="26" t="str">
        <f t="shared" si="5"/>
        <v/>
      </c>
      <c r="Q362" s="25" t="str">
        <f t="shared" si="6"/>
        <v/>
      </c>
      <c r="R362" s="25" t="str">
        <f t="shared" si="7"/>
        <v/>
      </c>
    </row>
    <row r="363" ht="15.75" customHeight="1">
      <c r="C363" s="47"/>
      <c r="D363" s="47"/>
      <c r="E363" s="47"/>
      <c r="F363" s="47"/>
      <c r="G363" s="47"/>
      <c r="H363" s="47"/>
      <c r="J363" s="47"/>
      <c r="L363" s="25" t="str">
        <f t="shared" si="1"/>
        <v/>
      </c>
      <c r="M363" s="25" t="str">
        <f t="shared" si="2"/>
        <v/>
      </c>
      <c r="N363" s="25" t="str">
        <f t="shared" si="3"/>
        <v/>
      </c>
      <c r="O363" s="25" t="str">
        <f t="shared" si="4"/>
        <v/>
      </c>
      <c r="P363" s="26" t="str">
        <f t="shared" si="5"/>
        <v/>
      </c>
      <c r="Q363" s="25" t="str">
        <f t="shared" si="6"/>
        <v/>
      </c>
      <c r="R363" s="25" t="str">
        <f t="shared" si="7"/>
        <v/>
      </c>
    </row>
    <row r="364" ht="15.75" customHeight="1">
      <c r="C364" s="47"/>
      <c r="D364" s="47"/>
      <c r="E364" s="47"/>
      <c r="F364" s="47"/>
      <c r="G364" s="47"/>
      <c r="H364" s="47"/>
      <c r="J364" s="47"/>
      <c r="L364" s="25" t="str">
        <f t="shared" si="1"/>
        <v/>
      </c>
      <c r="M364" s="25" t="str">
        <f t="shared" si="2"/>
        <v/>
      </c>
      <c r="N364" s="25" t="str">
        <f t="shared" si="3"/>
        <v/>
      </c>
      <c r="O364" s="25" t="str">
        <f t="shared" si="4"/>
        <v/>
      </c>
      <c r="P364" s="26" t="str">
        <f t="shared" si="5"/>
        <v/>
      </c>
      <c r="Q364" s="25" t="str">
        <f t="shared" si="6"/>
        <v/>
      </c>
      <c r="R364" s="25" t="str">
        <f t="shared" si="7"/>
        <v/>
      </c>
    </row>
    <row r="365" ht="15.75" customHeight="1">
      <c r="C365" s="47"/>
      <c r="D365" s="47"/>
      <c r="E365" s="47"/>
      <c r="F365" s="47"/>
      <c r="G365" s="47"/>
      <c r="H365" s="47"/>
      <c r="J365" s="47"/>
      <c r="L365" s="25" t="str">
        <f t="shared" si="1"/>
        <v/>
      </c>
      <c r="M365" s="25" t="str">
        <f t="shared" si="2"/>
        <v/>
      </c>
      <c r="N365" s="25" t="str">
        <f t="shared" si="3"/>
        <v/>
      </c>
      <c r="O365" s="25" t="str">
        <f t="shared" si="4"/>
        <v/>
      </c>
      <c r="P365" s="26" t="str">
        <f t="shared" si="5"/>
        <v/>
      </c>
      <c r="Q365" s="25" t="str">
        <f t="shared" si="6"/>
        <v/>
      </c>
      <c r="R365" s="25" t="str">
        <f t="shared" si="7"/>
        <v/>
      </c>
    </row>
    <row r="366" ht="15.75" customHeight="1">
      <c r="C366" s="47"/>
      <c r="D366" s="47"/>
      <c r="E366" s="47"/>
      <c r="F366" s="47"/>
      <c r="G366" s="47"/>
      <c r="H366" s="47"/>
      <c r="J366" s="47"/>
      <c r="L366" s="25" t="str">
        <f t="shared" si="1"/>
        <v/>
      </c>
      <c r="M366" s="25" t="str">
        <f t="shared" si="2"/>
        <v/>
      </c>
      <c r="N366" s="25" t="str">
        <f t="shared" si="3"/>
        <v/>
      </c>
      <c r="O366" s="25" t="str">
        <f t="shared" si="4"/>
        <v/>
      </c>
      <c r="P366" s="26" t="str">
        <f t="shared" si="5"/>
        <v/>
      </c>
      <c r="Q366" s="25" t="str">
        <f t="shared" si="6"/>
        <v/>
      </c>
      <c r="R366" s="25" t="str">
        <f t="shared" si="7"/>
        <v/>
      </c>
    </row>
    <row r="367" ht="15.75" customHeight="1">
      <c r="C367" s="47"/>
      <c r="D367" s="47"/>
      <c r="E367" s="47"/>
      <c r="F367" s="47"/>
      <c r="G367" s="47"/>
      <c r="H367" s="47"/>
      <c r="J367" s="47"/>
      <c r="L367" s="25" t="str">
        <f t="shared" si="1"/>
        <v/>
      </c>
      <c r="M367" s="25" t="str">
        <f t="shared" si="2"/>
        <v/>
      </c>
      <c r="N367" s="25" t="str">
        <f t="shared" si="3"/>
        <v/>
      </c>
      <c r="O367" s="25" t="str">
        <f t="shared" si="4"/>
        <v/>
      </c>
      <c r="P367" s="26" t="str">
        <f t="shared" si="5"/>
        <v/>
      </c>
      <c r="Q367" s="25" t="str">
        <f t="shared" si="6"/>
        <v/>
      </c>
      <c r="R367" s="25" t="str">
        <f t="shared" si="7"/>
        <v/>
      </c>
    </row>
    <row r="368" ht="15.75" customHeight="1">
      <c r="C368" s="47"/>
      <c r="D368" s="47"/>
      <c r="E368" s="47"/>
      <c r="F368" s="47"/>
      <c r="G368" s="47"/>
      <c r="H368" s="47"/>
      <c r="J368" s="47"/>
      <c r="L368" s="25" t="str">
        <f t="shared" si="1"/>
        <v/>
      </c>
      <c r="M368" s="25" t="str">
        <f t="shared" si="2"/>
        <v/>
      </c>
      <c r="N368" s="25" t="str">
        <f t="shared" si="3"/>
        <v/>
      </c>
      <c r="O368" s="25" t="str">
        <f t="shared" si="4"/>
        <v/>
      </c>
      <c r="P368" s="26" t="str">
        <f t="shared" si="5"/>
        <v/>
      </c>
      <c r="Q368" s="25" t="str">
        <f t="shared" si="6"/>
        <v/>
      </c>
      <c r="R368" s="25" t="str">
        <f t="shared" si="7"/>
        <v/>
      </c>
    </row>
    <row r="369" ht="15.75" customHeight="1">
      <c r="C369" s="47"/>
      <c r="D369" s="47"/>
      <c r="E369" s="47"/>
      <c r="F369" s="47"/>
      <c r="G369" s="47"/>
      <c r="H369" s="47"/>
      <c r="J369" s="47"/>
      <c r="L369" s="25" t="str">
        <f t="shared" si="1"/>
        <v/>
      </c>
      <c r="M369" s="25" t="str">
        <f t="shared" si="2"/>
        <v/>
      </c>
      <c r="N369" s="25" t="str">
        <f t="shared" si="3"/>
        <v/>
      </c>
      <c r="O369" s="25" t="str">
        <f t="shared" si="4"/>
        <v/>
      </c>
      <c r="P369" s="26" t="str">
        <f t="shared" si="5"/>
        <v/>
      </c>
      <c r="Q369" s="25" t="str">
        <f t="shared" si="6"/>
        <v/>
      </c>
      <c r="R369" s="25" t="str">
        <f t="shared" si="7"/>
        <v/>
      </c>
    </row>
    <row r="370" ht="15.75" customHeight="1">
      <c r="C370" s="47"/>
      <c r="D370" s="47"/>
      <c r="E370" s="47"/>
      <c r="F370" s="47"/>
      <c r="G370" s="47"/>
      <c r="H370" s="47"/>
      <c r="J370" s="47"/>
      <c r="L370" s="25" t="str">
        <f t="shared" si="1"/>
        <v/>
      </c>
      <c r="M370" s="25" t="str">
        <f t="shared" si="2"/>
        <v/>
      </c>
      <c r="N370" s="25" t="str">
        <f t="shared" si="3"/>
        <v/>
      </c>
      <c r="O370" s="25" t="str">
        <f t="shared" si="4"/>
        <v/>
      </c>
      <c r="P370" s="26" t="str">
        <f t="shared" si="5"/>
        <v/>
      </c>
      <c r="Q370" s="25" t="str">
        <f t="shared" si="6"/>
        <v/>
      </c>
      <c r="R370" s="25" t="str">
        <f t="shared" si="7"/>
        <v/>
      </c>
    </row>
    <row r="371" ht="15.75" customHeight="1">
      <c r="C371" s="47"/>
      <c r="D371" s="47"/>
      <c r="E371" s="47"/>
      <c r="F371" s="47"/>
      <c r="G371" s="47"/>
      <c r="H371" s="47"/>
      <c r="J371" s="47"/>
      <c r="L371" s="25" t="str">
        <f t="shared" si="1"/>
        <v/>
      </c>
      <c r="M371" s="25" t="str">
        <f t="shared" si="2"/>
        <v/>
      </c>
      <c r="N371" s="25" t="str">
        <f t="shared" si="3"/>
        <v/>
      </c>
      <c r="O371" s="25" t="str">
        <f t="shared" si="4"/>
        <v/>
      </c>
      <c r="P371" s="26" t="str">
        <f t="shared" si="5"/>
        <v/>
      </c>
      <c r="Q371" s="25" t="str">
        <f t="shared" si="6"/>
        <v/>
      </c>
      <c r="R371" s="25" t="str">
        <f t="shared" si="7"/>
        <v/>
      </c>
    </row>
    <row r="372" ht="15.75" customHeight="1">
      <c r="C372" s="47"/>
      <c r="D372" s="47"/>
      <c r="E372" s="47"/>
      <c r="F372" s="47"/>
      <c r="G372" s="47"/>
      <c r="H372" s="47"/>
      <c r="J372" s="47"/>
      <c r="L372" s="25" t="str">
        <f t="shared" si="1"/>
        <v/>
      </c>
      <c r="M372" s="25" t="str">
        <f t="shared" si="2"/>
        <v/>
      </c>
      <c r="N372" s="25" t="str">
        <f t="shared" si="3"/>
        <v/>
      </c>
      <c r="O372" s="25" t="str">
        <f t="shared" si="4"/>
        <v/>
      </c>
      <c r="P372" s="26" t="str">
        <f t="shared" si="5"/>
        <v/>
      </c>
      <c r="Q372" s="25" t="str">
        <f t="shared" si="6"/>
        <v/>
      </c>
      <c r="R372" s="25" t="str">
        <f t="shared" si="7"/>
        <v/>
      </c>
    </row>
    <row r="373" ht="15.75" customHeight="1">
      <c r="C373" s="47"/>
      <c r="D373" s="47"/>
      <c r="E373" s="47"/>
      <c r="F373" s="47"/>
      <c r="G373" s="47"/>
      <c r="H373" s="47"/>
      <c r="J373" s="47"/>
      <c r="L373" s="25" t="str">
        <f t="shared" si="1"/>
        <v/>
      </c>
      <c r="M373" s="25" t="str">
        <f t="shared" si="2"/>
        <v/>
      </c>
      <c r="N373" s="25" t="str">
        <f t="shared" si="3"/>
        <v/>
      </c>
      <c r="O373" s="25" t="str">
        <f t="shared" si="4"/>
        <v/>
      </c>
      <c r="P373" s="26" t="str">
        <f t="shared" si="5"/>
        <v/>
      </c>
      <c r="Q373" s="25" t="str">
        <f t="shared" si="6"/>
        <v/>
      </c>
      <c r="R373" s="25" t="str">
        <f t="shared" si="7"/>
        <v/>
      </c>
    </row>
    <row r="374" ht="15.75" customHeight="1">
      <c r="C374" s="47"/>
      <c r="D374" s="47"/>
      <c r="E374" s="47"/>
      <c r="F374" s="47"/>
      <c r="G374" s="47"/>
      <c r="H374" s="47"/>
      <c r="J374" s="47"/>
      <c r="L374" s="25" t="str">
        <f t="shared" si="1"/>
        <v/>
      </c>
      <c r="M374" s="25" t="str">
        <f t="shared" si="2"/>
        <v/>
      </c>
      <c r="N374" s="25" t="str">
        <f t="shared" si="3"/>
        <v/>
      </c>
      <c r="O374" s="25" t="str">
        <f t="shared" si="4"/>
        <v/>
      </c>
      <c r="P374" s="26" t="str">
        <f t="shared" si="5"/>
        <v/>
      </c>
      <c r="Q374" s="25" t="str">
        <f t="shared" si="6"/>
        <v/>
      </c>
      <c r="R374" s="25" t="str">
        <f t="shared" si="7"/>
        <v/>
      </c>
    </row>
    <row r="375" ht="15.75" customHeight="1">
      <c r="C375" s="47"/>
      <c r="D375" s="47"/>
      <c r="E375" s="47"/>
      <c r="F375" s="47"/>
      <c r="G375" s="47"/>
      <c r="H375" s="47"/>
      <c r="J375" s="47"/>
      <c r="L375" s="25" t="str">
        <f t="shared" si="1"/>
        <v/>
      </c>
      <c r="M375" s="25" t="str">
        <f t="shared" si="2"/>
        <v/>
      </c>
      <c r="N375" s="25" t="str">
        <f t="shared" si="3"/>
        <v/>
      </c>
      <c r="O375" s="25" t="str">
        <f t="shared" si="4"/>
        <v/>
      </c>
      <c r="P375" s="26" t="str">
        <f t="shared" si="5"/>
        <v/>
      </c>
      <c r="Q375" s="25" t="str">
        <f t="shared" si="6"/>
        <v/>
      </c>
      <c r="R375" s="25" t="str">
        <f t="shared" si="7"/>
        <v/>
      </c>
    </row>
    <row r="376" ht="15.75" customHeight="1">
      <c r="C376" s="47"/>
      <c r="D376" s="47"/>
      <c r="E376" s="47"/>
      <c r="F376" s="47"/>
      <c r="G376" s="47"/>
      <c r="H376" s="47"/>
      <c r="J376" s="47"/>
      <c r="L376" s="25" t="str">
        <f t="shared" si="1"/>
        <v/>
      </c>
      <c r="M376" s="25" t="str">
        <f t="shared" si="2"/>
        <v/>
      </c>
      <c r="N376" s="25" t="str">
        <f t="shared" si="3"/>
        <v/>
      </c>
      <c r="O376" s="25" t="str">
        <f t="shared" si="4"/>
        <v/>
      </c>
      <c r="P376" s="26" t="str">
        <f t="shared" si="5"/>
        <v/>
      </c>
      <c r="Q376" s="25" t="str">
        <f t="shared" si="6"/>
        <v/>
      </c>
      <c r="R376" s="25" t="str">
        <f t="shared" si="7"/>
        <v/>
      </c>
    </row>
    <row r="377" ht="15.75" customHeight="1">
      <c r="C377" s="47"/>
      <c r="D377" s="47"/>
      <c r="E377" s="47"/>
      <c r="F377" s="47"/>
      <c r="G377" s="47"/>
      <c r="H377" s="47"/>
      <c r="J377" s="47"/>
      <c r="L377" s="25" t="str">
        <f t="shared" si="1"/>
        <v/>
      </c>
      <c r="M377" s="25" t="str">
        <f t="shared" si="2"/>
        <v/>
      </c>
      <c r="N377" s="25" t="str">
        <f t="shared" si="3"/>
        <v/>
      </c>
      <c r="O377" s="25" t="str">
        <f t="shared" si="4"/>
        <v/>
      </c>
      <c r="P377" s="26" t="str">
        <f t="shared" si="5"/>
        <v/>
      </c>
      <c r="Q377" s="25" t="str">
        <f t="shared" si="6"/>
        <v/>
      </c>
      <c r="R377" s="25" t="str">
        <f t="shared" si="7"/>
        <v/>
      </c>
    </row>
    <row r="378" ht="15.75" customHeight="1">
      <c r="C378" s="47"/>
      <c r="D378" s="47"/>
      <c r="E378" s="47"/>
      <c r="F378" s="47"/>
      <c r="G378" s="47"/>
      <c r="H378" s="47"/>
      <c r="J378" s="47"/>
      <c r="L378" s="25" t="str">
        <f t="shared" si="1"/>
        <v/>
      </c>
      <c r="M378" s="25" t="str">
        <f t="shared" si="2"/>
        <v/>
      </c>
      <c r="N378" s="25" t="str">
        <f t="shared" si="3"/>
        <v/>
      </c>
      <c r="O378" s="25" t="str">
        <f t="shared" si="4"/>
        <v/>
      </c>
      <c r="P378" s="26" t="str">
        <f t="shared" si="5"/>
        <v/>
      </c>
      <c r="Q378" s="25" t="str">
        <f t="shared" si="6"/>
        <v/>
      </c>
      <c r="R378" s="25" t="str">
        <f t="shared" si="7"/>
        <v/>
      </c>
    </row>
    <row r="379" ht="15.75" customHeight="1">
      <c r="C379" s="47"/>
      <c r="D379" s="47"/>
      <c r="E379" s="47"/>
      <c r="F379" s="47"/>
      <c r="G379" s="47"/>
      <c r="H379" s="47"/>
      <c r="J379" s="47"/>
      <c r="L379" s="25" t="str">
        <f t="shared" si="1"/>
        <v/>
      </c>
      <c r="M379" s="25" t="str">
        <f t="shared" si="2"/>
        <v/>
      </c>
      <c r="N379" s="25" t="str">
        <f t="shared" si="3"/>
        <v/>
      </c>
      <c r="O379" s="25" t="str">
        <f t="shared" si="4"/>
        <v/>
      </c>
      <c r="P379" s="26" t="str">
        <f t="shared" si="5"/>
        <v/>
      </c>
      <c r="Q379" s="25" t="str">
        <f t="shared" si="6"/>
        <v/>
      </c>
      <c r="R379" s="25" t="str">
        <f t="shared" si="7"/>
        <v/>
      </c>
    </row>
    <row r="380" ht="15.75" customHeight="1">
      <c r="C380" s="47"/>
      <c r="D380" s="47"/>
      <c r="E380" s="47"/>
      <c r="F380" s="47"/>
      <c r="G380" s="47"/>
      <c r="H380" s="47"/>
      <c r="J380" s="47"/>
      <c r="L380" s="25" t="str">
        <f t="shared" si="1"/>
        <v/>
      </c>
      <c r="M380" s="25" t="str">
        <f t="shared" si="2"/>
        <v/>
      </c>
      <c r="N380" s="25" t="str">
        <f t="shared" si="3"/>
        <v/>
      </c>
      <c r="O380" s="25" t="str">
        <f t="shared" si="4"/>
        <v/>
      </c>
      <c r="P380" s="26" t="str">
        <f t="shared" si="5"/>
        <v/>
      </c>
      <c r="Q380" s="25" t="str">
        <f t="shared" si="6"/>
        <v/>
      </c>
      <c r="R380" s="25" t="str">
        <f t="shared" si="7"/>
        <v/>
      </c>
    </row>
    <row r="381" ht="15.75" customHeight="1">
      <c r="C381" s="47"/>
      <c r="D381" s="47"/>
      <c r="E381" s="47"/>
      <c r="F381" s="47"/>
      <c r="G381" s="47"/>
      <c r="H381" s="47"/>
      <c r="J381" s="47"/>
      <c r="L381" s="25" t="str">
        <f t="shared" si="1"/>
        <v/>
      </c>
      <c r="M381" s="25" t="str">
        <f t="shared" si="2"/>
        <v/>
      </c>
      <c r="N381" s="25" t="str">
        <f t="shared" si="3"/>
        <v/>
      </c>
      <c r="O381" s="25" t="str">
        <f t="shared" si="4"/>
        <v/>
      </c>
      <c r="P381" s="26" t="str">
        <f t="shared" si="5"/>
        <v/>
      </c>
      <c r="Q381" s="25" t="str">
        <f t="shared" si="6"/>
        <v/>
      </c>
      <c r="R381" s="25" t="str">
        <f t="shared" si="7"/>
        <v/>
      </c>
    </row>
    <row r="382" ht="15.75" customHeight="1">
      <c r="C382" s="47"/>
      <c r="D382" s="47"/>
      <c r="E382" s="47"/>
      <c r="F382" s="47"/>
      <c r="G382" s="47"/>
      <c r="H382" s="47"/>
      <c r="J382" s="47"/>
      <c r="L382" s="25" t="str">
        <f t="shared" si="1"/>
        <v/>
      </c>
      <c r="M382" s="25" t="str">
        <f t="shared" si="2"/>
        <v/>
      </c>
      <c r="N382" s="25" t="str">
        <f t="shared" si="3"/>
        <v/>
      </c>
      <c r="O382" s="25" t="str">
        <f t="shared" si="4"/>
        <v/>
      </c>
      <c r="P382" s="26" t="str">
        <f t="shared" si="5"/>
        <v/>
      </c>
      <c r="Q382" s="25" t="str">
        <f t="shared" si="6"/>
        <v/>
      </c>
      <c r="R382" s="25" t="str">
        <f t="shared" si="7"/>
        <v/>
      </c>
    </row>
    <row r="383" ht="15.75" customHeight="1">
      <c r="C383" s="47"/>
      <c r="D383" s="47"/>
      <c r="E383" s="47"/>
      <c r="F383" s="47"/>
      <c r="G383" s="47"/>
      <c r="H383" s="47"/>
      <c r="J383" s="47"/>
      <c r="L383" s="25" t="str">
        <f t="shared" si="1"/>
        <v/>
      </c>
      <c r="M383" s="25" t="str">
        <f t="shared" si="2"/>
        <v/>
      </c>
      <c r="N383" s="25" t="str">
        <f t="shared" si="3"/>
        <v/>
      </c>
      <c r="O383" s="25" t="str">
        <f t="shared" si="4"/>
        <v/>
      </c>
      <c r="P383" s="26" t="str">
        <f t="shared" si="5"/>
        <v/>
      </c>
      <c r="Q383" s="25" t="str">
        <f t="shared" si="6"/>
        <v/>
      </c>
      <c r="R383" s="25" t="str">
        <f t="shared" si="7"/>
        <v/>
      </c>
    </row>
    <row r="384" ht="15.75" customHeight="1">
      <c r="C384" s="47"/>
      <c r="D384" s="47"/>
      <c r="E384" s="47"/>
      <c r="F384" s="47"/>
      <c r="G384" s="47"/>
      <c r="H384" s="47"/>
      <c r="J384" s="47"/>
      <c r="L384" s="25" t="str">
        <f t="shared" si="1"/>
        <v/>
      </c>
      <c r="M384" s="25" t="str">
        <f t="shared" si="2"/>
        <v/>
      </c>
      <c r="N384" s="25" t="str">
        <f t="shared" si="3"/>
        <v/>
      </c>
      <c r="O384" s="25" t="str">
        <f t="shared" si="4"/>
        <v/>
      </c>
      <c r="P384" s="26" t="str">
        <f t="shared" si="5"/>
        <v/>
      </c>
      <c r="Q384" s="25" t="str">
        <f t="shared" si="6"/>
        <v/>
      </c>
      <c r="R384" s="25" t="str">
        <f t="shared" si="7"/>
        <v/>
      </c>
    </row>
    <row r="385" ht="15.75" customHeight="1">
      <c r="C385" s="47"/>
      <c r="D385" s="47"/>
      <c r="E385" s="47"/>
      <c r="F385" s="47"/>
      <c r="G385" s="47"/>
      <c r="H385" s="47"/>
      <c r="J385" s="47"/>
      <c r="L385" s="25" t="str">
        <f t="shared" si="1"/>
        <v/>
      </c>
      <c r="M385" s="25" t="str">
        <f t="shared" si="2"/>
        <v/>
      </c>
      <c r="N385" s="25" t="str">
        <f t="shared" si="3"/>
        <v/>
      </c>
      <c r="O385" s="25" t="str">
        <f t="shared" si="4"/>
        <v/>
      </c>
      <c r="P385" s="26" t="str">
        <f t="shared" si="5"/>
        <v/>
      </c>
      <c r="Q385" s="25" t="str">
        <f t="shared" si="6"/>
        <v/>
      </c>
      <c r="R385" s="25" t="str">
        <f t="shared" si="7"/>
        <v/>
      </c>
    </row>
    <row r="386" ht="15.75" customHeight="1">
      <c r="C386" s="47"/>
      <c r="D386" s="47"/>
      <c r="E386" s="47"/>
      <c r="F386" s="47"/>
      <c r="G386" s="47"/>
      <c r="H386" s="47"/>
      <c r="J386" s="47"/>
      <c r="L386" s="25" t="str">
        <f t="shared" si="1"/>
        <v/>
      </c>
      <c r="M386" s="25" t="str">
        <f t="shared" si="2"/>
        <v/>
      </c>
      <c r="N386" s="25" t="str">
        <f t="shared" si="3"/>
        <v/>
      </c>
      <c r="O386" s="25" t="str">
        <f t="shared" si="4"/>
        <v/>
      </c>
      <c r="P386" s="26" t="str">
        <f t="shared" si="5"/>
        <v/>
      </c>
      <c r="Q386" s="25" t="str">
        <f t="shared" si="6"/>
        <v/>
      </c>
      <c r="R386" s="25" t="str">
        <f t="shared" si="7"/>
        <v/>
      </c>
    </row>
    <row r="387" ht="15.75" customHeight="1">
      <c r="C387" s="47"/>
      <c r="D387" s="47"/>
      <c r="E387" s="47"/>
      <c r="F387" s="47"/>
      <c r="G387" s="47"/>
      <c r="H387" s="47"/>
      <c r="J387" s="47"/>
      <c r="L387" s="25" t="str">
        <f t="shared" si="1"/>
        <v/>
      </c>
      <c r="M387" s="25" t="str">
        <f t="shared" si="2"/>
        <v/>
      </c>
      <c r="N387" s="25" t="str">
        <f t="shared" si="3"/>
        <v/>
      </c>
      <c r="O387" s="25" t="str">
        <f t="shared" si="4"/>
        <v/>
      </c>
      <c r="P387" s="26" t="str">
        <f t="shared" si="5"/>
        <v/>
      </c>
      <c r="Q387" s="25" t="str">
        <f t="shared" si="6"/>
        <v/>
      </c>
      <c r="R387" s="25" t="str">
        <f t="shared" si="7"/>
        <v/>
      </c>
    </row>
    <row r="388" ht="15.75" customHeight="1">
      <c r="C388" s="47"/>
      <c r="D388" s="47"/>
      <c r="E388" s="47"/>
      <c r="F388" s="47"/>
      <c r="G388" s="47"/>
      <c r="H388" s="47"/>
      <c r="J388" s="47"/>
      <c r="L388" s="25" t="str">
        <f t="shared" si="1"/>
        <v/>
      </c>
      <c r="M388" s="25" t="str">
        <f t="shared" si="2"/>
        <v/>
      </c>
      <c r="N388" s="25" t="str">
        <f t="shared" si="3"/>
        <v/>
      </c>
      <c r="O388" s="25" t="str">
        <f t="shared" si="4"/>
        <v/>
      </c>
      <c r="P388" s="26" t="str">
        <f t="shared" si="5"/>
        <v/>
      </c>
      <c r="Q388" s="25" t="str">
        <f t="shared" si="6"/>
        <v/>
      </c>
      <c r="R388" s="25" t="str">
        <f t="shared" si="7"/>
        <v/>
      </c>
    </row>
    <row r="389" ht="15.75" customHeight="1">
      <c r="C389" s="47"/>
      <c r="D389" s="47"/>
      <c r="E389" s="47"/>
      <c r="F389" s="47"/>
      <c r="G389" s="47"/>
      <c r="H389" s="47"/>
      <c r="J389" s="47"/>
      <c r="L389" s="25" t="str">
        <f t="shared" si="1"/>
        <v/>
      </c>
      <c r="M389" s="25" t="str">
        <f t="shared" si="2"/>
        <v/>
      </c>
      <c r="N389" s="25" t="str">
        <f t="shared" si="3"/>
        <v/>
      </c>
      <c r="O389" s="25" t="str">
        <f t="shared" si="4"/>
        <v/>
      </c>
      <c r="P389" s="26" t="str">
        <f t="shared" si="5"/>
        <v/>
      </c>
      <c r="Q389" s="25" t="str">
        <f t="shared" si="6"/>
        <v/>
      </c>
      <c r="R389" s="25" t="str">
        <f t="shared" si="7"/>
        <v/>
      </c>
    </row>
    <row r="390" ht="15.75" customHeight="1">
      <c r="C390" s="47"/>
      <c r="D390" s="47"/>
      <c r="E390" s="47"/>
      <c r="F390" s="47"/>
      <c r="G390" s="47"/>
      <c r="H390" s="47"/>
      <c r="J390" s="47"/>
      <c r="L390" s="25" t="str">
        <f t="shared" si="1"/>
        <v/>
      </c>
      <c r="M390" s="25" t="str">
        <f t="shared" si="2"/>
        <v/>
      </c>
      <c r="N390" s="25" t="str">
        <f t="shared" si="3"/>
        <v/>
      </c>
      <c r="O390" s="25" t="str">
        <f t="shared" si="4"/>
        <v/>
      </c>
      <c r="P390" s="26" t="str">
        <f t="shared" si="5"/>
        <v/>
      </c>
      <c r="Q390" s="25" t="str">
        <f t="shared" si="6"/>
        <v/>
      </c>
      <c r="R390" s="25" t="str">
        <f t="shared" si="7"/>
        <v/>
      </c>
    </row>
    <row r="391" ht="15.75" customHeight="1">
      <c r="C391" s="47"/>
      <c r="D391" s="47"/>
      <c r="E391" s="47"/>
      <c r="F391" s="47"/>
      <c r="G391" s="47"/>
      <c r="H391" s="47"/>
      <c r="J391" s="47"/>
      <c r="L391" s="25" t="str">
        <f t="shared" si="1"/>
        <v/>
      </c>
      <c r="M391" s="25" t="str">
        <f t="shared" si="2"/>
        <v/>
      </c>
      <c r="N391" s="25" t="str">
        <f t="shared" si="3"/>
        <v/>
      </c>
      <c r="O391" s="25" t="str">
        <f t="shared" si="4"/>
        <v/>
      </c>
      <c r="P391" s="26" t="str">
        <f t="shared" si="5"/>
        <v/>
      </c>
      <c r="Q391" s="25" t="str">
        <f t="shared" si="6"/>
        <v/>
      </c>
      <c r="R391" s="25" t="str">
        <f t="shared" si="7"/>
        <v/>
      </c>
    </row>
    <row r="392" ht="15.75" customHeight="1">
      <c r="C392" s="47"/>
      <c r="D392" s="47"/>
      <c r="E392" s="47"/>
      <c r="F392" s="47"/>
      <c r="G392" s="47"/>
      <c r="H392" s="47"/>
      <c r="J392" s="47"/>
      <c r="L392" s="25" t="str">
        <f t="shared" si="1"/>
        <v/>
      </c>
      <c r="M392" s="25" t="str">
        <f t="shared" si="2"/>
        <v/>
      </c>
      <c r="N392" s="25" t="str">
        <f t="shared" si="3"/>
        <v/>
      </c>
      <c r="O392" s="25" t="str">
        <f t="shared" si="4"/>
        <v/>
      </c>
      <c r="P392" s="26" t="str">
        <f t="shared" si="5"/>
        <v/>
      </c>
      <c r="Q392" s="25" t="str">
        <f t="shared" si="6"/>
        <v/>
      </c>
      <c r="R392" s="25" t="str">
        <f t="shared" si="7"/>
        <v/>
      </c>
    </row>
    <row r="393" ht="15.75" customHeight="1">
      <c r="C393" s="47"/>
      <c r="D393" s="47"/>
      <c r="E393" s="47"/>
      <c r="F393" s="47"/>
      <c r="G393" s="47"/>
      <c r="H393" s="47"/>
      <c r="J393" s="47"/>
      <c r="L393" s="25" t="str">
        <f t="shared" si="1"/>
        <v/>
      </c>
      <c r="M393" s="25" t="str">
        <f t="shared" si="2"/>
        <v/>
      </c>
      <c r="N393" s="25" t="str">
        <f t="shared" si="3"/>
        <v/>
      </c>
      <c r="O393" s="25" t="str">
        <f t="shared" si="4"/>
        <v/>
      </c>
      <c r="P393" s="26" t="str">
        <f t="shared" si="5"/>
        <v/>
      </c>
      <c r="Q393" s="25" t="str">
        <f t="shared" si="6"/>
        <v/>
      </c>
      <c r="R393" s="25" t="str">
        <f t="shared" si="7"/>
        <v/>
      </c>
    </row>
    <row r="394" ht="15.75" customHeight="1">
      <c r="C394" s="47"/>
      <c r="D394" s="47"/>
      <c r="E394" s="47"/>
      <c r="F394" s="47"/>
      <c r="G394" s="47"/>
      <c r="H394" s="47"/>
      <c r="J394" s="47"/>
      <c r="L394" s="25" t="str">
        <f t="shared" si="1"/>
        <v/>
      </c>
      <c r="M394" s="25" t="str">
        <f t="shared" si="2"/>
        <v/>
      </c>
      <c r="N394" s="25" t="str">
        <f t="shared" si="3"/>
        <v/>
      </c>
      <c r="O394" s="25" t="str">
        <f t="shared" si="4"/>
        <v/>
      </c>
      <c r="P394" s="26" t="str">
        <f t="shared" si="5"/>
        <v/>
      </c>
      <c r="Q394" s="25" t="str">
        <f t="shared" si="6"/>
        <v/>
      </c>
      <c r="R394" s="25" t="str">
        <f t="shared" si="7"/>
        <v/>
      </c>
    </row>
    <row r="395" ht="15.75" customHeight="1">
      <c r="C395" s="47"/>
      <c r="D395" s="47"/>
      <c r="E395" s="47"/>
      <c r="F395" s="47"/>
      <c r="G395" s="47"/>
      <c r="H395" s="47"/>
      <c r="J395" s="47"/>
      <c r="L395" s="25" t="str">
        <f t="shared" si="1"/>
        <v/>
      </c>
      <c r="M395" s="25" t="str">
        <f t="shared" si="2"/>
        <v/>
      </c>
      <c r="N395" s="25" t="str">
        <f t="shared" si="3"/>
        <v/>
      </c>
      <c r="O395" s="25" t="str">
        <f t="shared" si="4"/>
        <v/>
      </c>
      <c r="P395" s="26" t="str">
        <f t="shared" si="5"/>
        <v/>
      </c>
      <c r="Q395" s="25" t="str">
        <f t="shared" si="6"/>
        <v/>
      </c>
      <c r="R395" s="25" t="str">
        <f t="shared" si="7"/>
        <v/>
      </c>
    </row>
    <row r="396" ht="15.75" customHeight="1">
      <c r="C396" s="47"/>
      <c r="D396" s="47"/>
      <c r="E396" s="47"/>
      <c r="F396" s="47"/>
      <c r="G396" s="47"/>
      <c r="H396" s="47"/>
      <c r="J396" s="47"/>
      <c r="L396" s="25" t="str">
        <f t="shared" si="1"/>
        <v/>
      </c>
      <c r="M396" s="25" t="str">
        <f t="shared" si="2"/>
        <v/>
      </c>
      <c r="N396" s="25" t="str">
        <f t="shared" si="3"/>
        <v/>
      </c>
      <c r="O396" s="25" t="str">
        <f t="shared" si="4"/>
        <v/>
      </c>
      <c r="P396" s="26" t="str">
        <f t="shared" si="5"/>
        <v/>
      </c>
      <c r="Q396" s="25" t="str">
        <f t="shared" si="6"/>
        <v/>
      </c>
      <c r="R396" s="25" t="str">
        <f t="shared" si="7"/>
        <v/>
      </c>
    </row>
    <row r="397" ht="15.75" customHeight="1">
      <c r="C397" s="47"/>
      <c r="D397" s="47"/>
      <c r="E397" s="47"/>
      <c r="F397" s="47"/>
      <c r="G397" s="47"/>
      <c r="H397" s="47"/>
      <c r="J397" s="47"/>
      <c r="L397" s="25" t="str">
        <f t="shared" si="1"/>
        <v/>
      </c>
      <c r="M397" s="25" t="str">
        <f t="shared" si="2"/>
        <v/>
      </c>
      <c r="N397" s="25" t="str">
        <f t="shared" si="3"/>
        <v/>
      </c>
      <c r="O397" s="25" t="str">
        <f t="shared" si="4"/>
        <v/>
      </c>
      <c r="P397" s="26" t="str">
        <f t="shared" si="5"/>
        <v/>
      </c>
      <c r="Q397" s="25" t="str">
        <f t="shared" si="6"/>
        <v/>
      </c>
      <c r="R397" s="25" t="str">
        <f t="shared" si="7"/>
        <v/>
      </c>
    </row>
    <row r="398" ht="15.75" customHeight="1">
      <c r="C398" s="47"/>
      <c r="D398" s="47"/>
      <c r="E398" s="47"/>
      <c r="F398" s="47"/>
      <c r="G398" s="47"/>
      <c r="H398" s="47"/>
      <c r="J398" s="47"/>
      <c r="L398" s="25" t="str">
        <f t="shared" si="1"/>
        <v/>
      </c>
      <c r="M398" s="25" t="str">
        <f t="shared" si="2"/>
        <v/>
      </c>
      <c r="N398" s="25" t="str">
        <f t="shared" si="3"/>
        <v/>
      </c>
      <c r="O398" s="25" t="str">
        <f t="shared" si="4"/>
        <v/>
      </c>
      <c r="P398" s="26" t="str">
        <f t="shared" si="5"/>
        <v/>
      </c>
      <c r="Q398" s="25" t="str">
        <f t="shared" si="6"/>
        <v/>
      </c>
      <c r="R398" s="25" t="str">
        <f t="shared" si="7"/>
        <v/>
      </c>
    </row>
    <row r="399" ht="15.75" customHeight="1">
      <c r="C399" s="47"/>
      <c r="D399" s="47"/>
      <c r="E399" s="47"/>
      <c r="F399" s="47"/>
      <c r="G399" s="47"/>
      <c r="H399" s="47"/>
      <c r="J399" s="47"/>
      <c r="L399" s="25" t="str">
        <f t="shared" si="1"/>
        <v/>
      </c>
      <c r="M399" s="25" t="str">
        <f t="shared" si="2"/>
        <v/>
      </c>
      <c r="N399" s="25" t="str">
        <f t="shared" si="3"/>
        <v/>
      </c>
      <c r="O399" s="25" t="str">
        <f t="shared" si="4"/>
        <v/>
      </c>
      <c r="P399" s="26" t="str">
        <f t="shared" si="5"/>
        <v/>
      </c>
      <c r="Q399" s="25" t="str">
        <f t="shared" si="6"/>
        <v/>
      </c>
      <c r="R399" s="25" t="str">
        <f t="shared" si="7"/>
        <v/>
      </c>
    </row>
    <row r="400" ht="15.75" customHeight="1">
      <c r="C400" s="47"/>
      <c r="D400" s="47"/>
      <c r="E400" s="47"/>
      <c r="F400" s="47"/>
      <c r="G400" s="47"/>
      <c r="H400" s="47"/>
      <c r="J400" s="47"/>
      <c r="L400" s="25" t="str">
        <f t="shared" si="1"/>
        <v/>
      </c>
      <c r="M400" s="25" t="str">
        <f t="shared" si="2"/>
        <v/>
      </c>
      <c r="N400" s="25" t="str">
        <f t="shared" si="3"/>
        <v/>
      </c>
      <c r="O400" s="25" t="str">
        <f t="shared" si="4"/>
        <v/>
      </c>
      <c r="P400" s="26" t="str">
        <f t="shared" si="5"/>
        <v/>
      </c>
      <c r="Q400" s="25" t="str">
        <f t="shared" si="6"/>
        <v/>
      </c>
      <c r="R400" s="25" t="str">
        <f t="shared" si="7"/>
        <v/>
      </c>
    </row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2:H400">
    <cfRule type="cellIs" dxfId="0" priority="1" operator="equal">
      <formula>"W"</formula>
    </cfRule>
  </conditionalFormatting>
  <conditionalFormatting sqref="H2:H400">
    <cfRule type="cellIs" dxfId="1" priority="2" operator="equal">
      <formula>"L"</formula>
    </cfRule>
  </conditionalFormatting>
  <conditionalFormatting sqref="P2:P40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dataValidations>
    <dataValidation type="list" allowBlank="1" sqref="E2:E400">
      <formula1>Liste!$F$2:$F$21</formula1>
    </dataValidation>
    <dataValidation type="list" allowBlank="1" sqref="F2:F113 F116:F400">
      <formula1>Liste!$G$2:$G$61</formula1>
    </dataValidation>
    <dataValidation type="list" allowBlank="1" sqref="J2:J400">
      <formula1>Liste!$C$2:$C$16</formula1>
    </dataValidation>
    <dataValidation type="list" allowBlank="1" sqref="C2:C400">
      <formula1>Liste!$B$2:$B$16</formula1>
    </dataValidation>
    <dataValidation type="list" allowBlank="1" sqref="H2:H400">
      <formula1>"W,L"</formula1>
    </dataValidation>
    <dataValidation type="list" allowBlank="1" sqref="D2:D400">
      <formula1>Liste!$A$2:$A$31</formula1>
    </dataValidation>
    <dataValidation type="list" allowBlank="1" sqref="G2:G400">
      <formula1>"1,2"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0"/>
    <col customWidth="1" min="2" max="2" width="28.0"/>
    <col customWidth="1" min="3" max="4" width="12.0"/>
    <col customWidth="1" min="5" max="5" width="16.0"/>
    <col customWidth="1" min="6" max="7" width="13.0"/>
    <col customWidth="1" min="8" max="8" width="15.0"/>
    <col customWidth="1" min="9" max="9" width="13.0"/>
    <col customWidth="1" min="10" max="26" width="8.63"/>
  </cols>
  <sheetData>
    <row r="2" ht="31.5" customHeight="1">
      <c r="B2" s="30" t="s">
        <v>82</v>
      </c>
      <c r="C2" s="6"/>
      <c r="D2" s="6"/>
      <c r="E2" s="6"/>
      <c r="F2" s="6"/>
      <c r="G2" s="6"/>
      <c r="H2" s="6"/>
      <c r="I2" s="8"/>
    </row>
    <row r="4">
      <c r="B4" s="32" t="s">
        <v>86</v>
      </c>
      <c r="C4" s="35">
        <f>COUNTIFS(Match!$A$2:$A$100000,"&lt;&gt;")</f>
        <v>120</v>
      </c>
      <c r="E4" s="32" t="s">
        <v>90</v>
      </c>
      <c r="F4" s="38">
        <f>IFERROR(COUNTIFS(Match!$H:$H,"W")/C4,"")</f>
        <v>0.6333333333</v>
      </c>
      <c r="H4" s="32" t="s">
        <v>94</v>
      </c>
      <c r="I4" s="35">
        <f>COUNTIFS(Liste!$A$2:$A$31,"&lt;&gt;")</f>
        <v>5</v>
      </c>
    </row>
    <row r="6" ht="15.75" customHeight="1">
      <c r="B6" s="34" t="s">
        <v>99</v>
      </c>
      <c r="C6" s="6"/>
      <c r="D6" s="6"/>
      <c r="E6" s="6"/>
      <c r="F6" s="6"/>
      <c r="G6" s="6"/>
      <c r="H6" s="8"/>
    </row>
    <row r="7">
      <c r="B7" s="11" t="s">
        <v>11</v>
      </c>
      <c r="C7" s="11" t="s">
        <v>95</v>
      </c>
      <c r="D7" s="11" t="s">
        <v>96</v>
      </c>
      <c r="E7" s="11" t="s">
        <v>97</v>
      </c>
      <c r="F7" s="11" t="s">
        <v>98</v>
      </c>
      <c r="G7" s="11" t="s">
        <v>102</v>
      </c>
      <c r="H7" s="11" t="s">
        <v>103</v>
      </c>
    </row>
    <row r="8">
      <c r="B8" s="19" t="str">
        <f>IF(Liste!$A$2="","",Liste!$A$2)</f>
        <v>Grimmsnarl ex Froslass</v>
      </c>
      <c r="C8" s="29">
        <f>IF($B8="","",COUNTIFS(Match!$D:$D,$B8))</f>
        <v>31</v>
      </c>
      <c r="D8" s="29">
        <f>IF($B8="","",COUNTIFS(Match!$D:$D,$B8,Match!$H:$H,"W"))</f>
        <v>22</v>
      </c>
      <c r="E8" s="29">
        <f>IF($B8="","",COUNTIFS(Match!$D:$D,$B8,Match!$H:$H,"L"))</f>
        <v>9</v>
      </c>
      <c r="F8" s="40">
        <f t="shared" ref="F8:F37" si="1">IF($B8="","",IFERROR(D8/C8,""))</f>
        <v>0.7096774194</v>
      </c>
      <c r="G8" s="40">
        <f>IF($B8="","",IFERROR(COUNTIFS(Match!$D:$D,$B8,Match!$G:$G,1,Match!$H:$H,"W")/COUNTIFS(Match!$D:$D,$B8,Match!$G:$G,1),""))</f>
        <v>0.7619047619</v>
      </c>
      <c r="H8" s="40">
        <f>IF($B8="","",IFERROR(COUNTIFS(Match!$D:$D,$B8,Match!$G:$G,2,Match!$H:$H,"W")/COUNTIFS(Match!$D:$D,$B8,Match!$G:$G,2),""))</f>
        <v>0.6</v>
      </c>
    </row>
    <row r="9">
      <c r="B9" s="19" t="str">
        <f>IF(Liste!$A$3="","",Liste!$A$3)</f>
        <v>Dragapult ex</v>
      </c>
      <c r="C9" s="29">
        <f>IF($B9="","",COUNTIFS(Match!$D:$D,$B9))</f>
        <v>25</v>
      </c>
      <c r="D9" s="29">
        <f>IF($B9="","",COUNTIFS(Match!$D:$D,$B9,Match!$H:$H,"W"))</f>
        <v>17</v>
      </c>
      <c r="E9" s="29">
        <f>IF($B9="","",COUNTIFS(Match!$D:$D,$B9,Match!$H:$H,"L"))</f>
        <v>8</v>
      </c>
      <c r="F9" s="40">
        <f t="shared" si="1"/>
        <v>0.68</v>
      </c>
      <c r="G9" s="40">
        <f>IF($B9="","",IFERROR(COUNTIFS(Match!$D:$D,$B9,Match!$G:$G,1,Match!$H:$H,"W")/COUNTIFS(Match!$D:$D,$B9,Match!$G:$G,1),""))</f>
        <v>0.7272727273</v>
      </c>
      <c r="H9" s="40">
        <f>IF($B9="","",IFERROR(COUNTIFS(Match!$D:$D,$B9,Match!$G:$G,2,Match!$H:$H,"W")/COUNTIFS(Match!$D:$D,$B9,Match!$G:$G,2),""))</f>
        <v>0.3333333333</v>
      </c>
    </row>
    <row r="10">
      <c r="B10" s="19" t="str">
        <f>IF(Liste!$A$4="","",Liste!$A$4)</f>
        <v>Area Della Festa</v>
      </c>
      <c r="C10" s="29">
        <f>IF($B10="","",COUNTIFS(Match!$D:$D,$B10))</f>
        <v>3</v>
      </c>
      <c r="D10" s="29">
        <f>IF($B10="","",COUNTIFS(Match!$D:$D,$B10,Match!$H:$H,"W"))</f>
        <v>0</v>
      </c>
      <c r="E10" s="29">
        <f>IF($B10="","",COUNTIFS(Match!$D:$D,$B10,Match!$H:$H,"L"))</f>
        <v>3</v>
      </c>
      <c r="F10" s="40">
        <f t="shared" si="1"/>
        <v>0</v>
      </c>
      <c r="G10" s="40">
        <f>IF($B10="","",IFERROR(COUNTIFS(Match!$D:$D,$B10,Match!$G:$G,1,Match!$H:$H,"W")/COUNTIFS(Match!$D:$D,$B10,Match!$G:$G,1),""))</f>
        <v>0</v>
      </c>
      <c r="H10" s="40" t="str">
        <f>IF($B10="","",IFERROR(COUNTIFS(Match!$D:$D,$B10,Match!$G:$G,2,Match!$H:$H,"W")/COUNTIFS(Match!$D:$D,$B10,Match!$G:$G,2),""))</f>
        <v/>
      </c>
    </row>
    <row r="11">
      <c r="B11" s="19" t="str">
        <f>IF(Liste!$A$5="","",Liste!$A$5)</f>
        <v>Ragingbolt ex Ogerpon ex</v>
      </c>
      <c r="C11" s="29">
        <f>IF($B11="","",COUNTIFS(Match!$D:$D,$B11))</f>
        <v>11</v>
      </c>
      <c r="D11" s="29">
        <f>IF($B11="","",COUNTIFS(Match!$D:$D,$B11,Match!$H:$H,"W"))</f>
        <v>5</v>
      </c>
      <c r="E11" s="29">
        <f>IF($B11="","",COUNTIFS(Match!$D:$D,$B11,Match!$H:$H,"L"))</f>
        <v>6</v>
      </c>
      <c r="F11" s="40">
        <f t="shared" si="1"/>
        <v>0.4545454545</v>
      </c>
      <c r="G11" s="40">
        <f>IF($B11="","",IFERROR(COUNTIFS(Match!$D:$D,$B11,Match!$G:$G,1,Match!$H:$H,"W")/COUNTIFS(Match!$D:$D,$B11,Match!$G:$G,1),""))</f>
        <v>0.3333333333</v>
      </c>
      <c r="H11" s="40">
        <f>IF($B11="","",IFERROR(COUNTIFS(Match!$D:$D,$B11,Match!$G:$G,2,Match!$H:$H,"W")/COUNTIFS(Match!$D:$D,$B11,Match!$G:$G,2),""))</f>
        <v>0.6</v>
      </c>
    </row>
    <row r="12">
      <c r="B12" s="19" t="str">
        <f>IF(Liste!$A$6="","",Liste!$A$6)</f>
        <v>Dragapult ex Blaziken ex</v>
      </c>
      <c r="C12" s="29">
        <f>IF($B12="","",COUNTIFS(Match!$D:$D,$B12))</f>
        <v>50</v>
      </c>
      <c r="D12" s="29">
        <f>IF($B12="","",COUNTIFS(Match!$D:$D,$B12,Match!$H:$H,"W"))</f>
        <v>32</v>
      </c>
      <c r="E12" s="29">
        <f>IF($B12="","",COUNTIFS(Match!$D:$D,$B12,Match!$H:$H,"L"))</f>
        <v>18</v>
      </c>
      <c r="F12" s="40">
        <f t="shared" si="1"/>
        <v>0.64</v>
      </c>
      <c r="G12" s="40">
        <f>IF($B12="","",IFERROR(COUNTIFS(Match!$D:$D,$B12,Match!$G:$G,1,Match!$H:$H,"W")/COUNTIFS(Match!$D:$D,$B12,Match!$G:$G,1),""))</f>
        <v>0.6666666667</v>
      </c>
      <c r="H12" s="40">
        <f>IF($B12="","",IFERROR(COUNTIFS(Match!$D:$D,$B12,Match!$G:$G,2,Match!$H:$H,"W")/COUNTIFS(Match!$D:$D,$B12,Match!$G:$G,2),""))</f>
        <v>0.6341463415</v>
      </c>
    </row>
    <row r="13">
      <c r="B13" s="19" t="str">
        <f>IF(Liste!$A$7="","",Liste!$A$7)</f>
        <v/>
      </c>
      <c r="C13" s="29" t="str">
        <f>IF($B13="","",COUNTIFS(Match!$D:$D,$B13))</f>
        <v/>
      </c>
      <c r="D13" s="29" t="str">
        <f>IF($B13="","",COUNTIFS(Match!$D:$D,$B13,Match!$H:$H,"W"))</f>
        <v/>
      </c>
      <c r="E13" s="29" t="str">
        <f>IF($B13="","",COUNTIFS(Match!$D:$D,$B13,Match!$H:$H,"L"))</f>
        <v/>
      </c>
      <c r="F13" s="40" t="str">
        <f t="shared" si="1"/>
        <v/>
      </c>
      <c r="G13" s="40" t="str">
        <f>IF($B13="","",IFERROR(COUNTIFS(Match!$D:$D,$B13,Match!$G:$G,1,Match!$H:$H,"W")/COUNTIFS(Match!$D:$D,$B13,Match!$G:$G,1),""))</f>
        <v/>
      </c>
      <c r="H13" s="40" t="str">
        <f>IF($B13="","",IFERROR(COUNTIFS(Match!$D:$D,$B13,Match!$G:$G,2,Match!$H:$H,"W")/COUNTIFS(Match!$D:$D,$B13,Match!$G:$G,2),""))</f>
        <v/>
      </c>
    </row>
    <row r="14">
      <c r="B14" s="19" t="str">
        <f>IF(Liste!$A$8="","",Liste!$A$8)</f>
        <v/>
      </c>
      <c r="C14" s="29" t="str">
        <f>IF($B14="","",COUNTIFS(Match!$D:$D,$B14))</f>
        <v/>
      </c>
      <c r="D14" s="29" t="str">
        <f>IF($B14="","",COUNTIFS(Match!$D:$D,$B14,Match!$H:$H,"W"))</f>
        <v/>
      </c>
      <c r="E14" s="29" t="str">
        <f>IF($B14="","",COUNTIFS(Match!$D:$D,$B14,Match!$H:$H,"L"))</f>
        <v/>
      </c>
      <c r="F14" s="40" t="str">
        <f t="shared" si="1"/>
        <v/>
      </c>
      <c r="G14" s="40" t="str">
        <f>IF($B14="","",IFERROR(COUNTIFS(Match!$D:$D,$B14,Match!$G:$G,1,Match!$H:$H,"W")/COUNTIFS(Match!$D:$D,$B14,Match!$G:$G,1),""))</f>
        <v/>
      </c>
      <c r="H14" s="40" t="str">
        <f>IF($B14="","",IFERROR(COUNTIFS(Match!$D:$D,$B14,Match!$G:$G,2,Match!$H:$H,"W")/COUNTIFS(Match!$D:$D,$B14,Match!$G:$G,2),""))</f>
        <v/>
      </c>
    </row>
    <row r="15">
      <c r="B15" s="19" t="str">
        <f>IF(Liste!$A$9="","",Liste!$A$9)</f>
        <v/>
      </c>
      <c r="C15" s="29" t="str">
        <f>IF($B15="","",COUNTIFS(Match!$D:$D,$B15))</f>
        <v/>
      </c>
      <c r="D15" s="29" t="str">
        <f>IF($B15="","",COUNTIFS(Match!$D:$D,$B15,Match!$H:$H,"W"))</f>
        <v/>
      </c>
      <c r="E15" s="29" t="str">
        <f>IF($B15="","",COUNTIFS(Match!$D:$D,$B15,Match!$H:$H,"L"))</f>
        <v/>
      </c>
      <c r="F15" s="40" t="str">
        <f t="shared" si="1"/>
        <v/>
      </c>
      <c r="G15" s="40" t="str">
        <f>IF($B15="","",IFERROR(COUNTIFS(Match!$D:$D,$B15,Match!$G:$G,1,Match!$H:$H,"W")/COUNTIFS(Match!$D:$D,$B15,Match!$G:$G,1),""))</f>
        <v/>
      </c>
      <c r="H15" s="40" t="str">
        <f>IF($B15="","",IFERROR(COUNTIFS(Match!$D:$D,$B15,Match!$G:$G,2,Match!$H:$H,"W")/COUNTIFS(Match!$D:$D,$B15,Match!$G:$G,2),""))</f>
        <v/>
      </c>
    </row>
    <row r="16">
      <c r="B16" s="19" t="str">
        <f>IF(Liste!$A$10="","",Liste!$A$10)</f>
        <v/>
      </c>
      <c r="C16" s="29" t="str">
        <f>IF($B16="","",COUNTIFS(Match!$D:$D,$B16))</f>
        <v/>
      </c>
      <c r="D16" s="29" t="str">
        <f>IF($B16="","",COUNTIFS(Match!$D:$D,$B16,Match!$H:$H,"W"))</f>
        <v/>
      </c>
      <c r="E16" s="29" t="str">
        <f>IF($B16="","",COUNTIFS(Match!$D:$D,$B16,Match!$H:$H,"L"))</f>
        <v/>
      </c>
      <c r="F16" s="40" t="str">
        <f t="shared" si="1"/>
        <v/>
      </c>
      <c r="G16" s="40" t="str">
        <f>IF($B16="","",IFERROR(COUNTIFS(Match!$D:$D,$B16,Match!$G:$G,1,Match!$H:$H,"W")/COUNTIFS(Match!$D:$D,$B16,Match!$G:$G,1),""))</f>
        <v/>
      </c>
      <c r="H16" s="40" t="str">
        <f>IF($B16="","",IFERROR(COUNTIFS(Match!$D:$D,$B16,Match!$G:$G,2,Match!$H:$H,"W")/COUNTIFS(Match!$D:$D,$B16,Match!$G:$G,2),""))</f>
        <v/>
      </c>
    </row>
    <row r="17">
      <c r="B17" s="19" t="str">
        <f>IF(Liste!$A$11="","",Liste!$A$11)</f>
        <v/>
      </c>
      <c r="C17" s="29" t="str">
        <f>IF($B17="","",COUNTIFS(Match!$D:$D,$B17))</f>
        <v/>
      </c>
      <c r="D17" s="29" t="str">
        <f>IF($B17="","",COUNTIFS(Match!$D:$D,$B17,Match!$H:$H,"W"))</f>
        <v/>
      </c>
      <c r="E17" s="29" t="str">
        <f>IF($B17="","",COUNTIFS(Match!$D:$D,$B17,Match!$H:$H,"L"))</f>
        <v/>
      </c>
      <c r="F17" s="40" t="str">
        <f t="shared" si="1"/>
        <v/>
      </c>
      <c r="G17" s="40" t="str">
        <f>IF($B17="","",IFERROR(COUNTIFS(Match!$D:$D,$B17,Match!$G:$G,1,Match!$H:$H,"W")/COUNTIFS(Match!$D:$D,$B17,Match!$G:$G,1),""))</f>
        <v/>
      </c>
      <c r="H17" s="40" t="str">
        <f>IF($B17="","",IFERROR(COUNTIFS(Match!$D:$D,$B17,Match!$G:$G,2,Match!$H:$H,"W")/COUNTIFS(Match!$D:$D,$B17,Match!$G:$G,2),""))</f>
        <v/>
      </c>
    </row>
    <row r="18">
      <c r="B18" s="19" t="str">
        <f>IF(Liste!$A$12="","",Liste!$A$12)</f>
        <v/>
      </c>
      <c r="C18" s="29" t="str">
        <f>IF($B18="","",COUNTIFS(Match!$D:$D,$B18))</f>
        <v/>
      </c>
      <c r="D18" s="29" t="str">
        <f>IF($B18="","",COUNTIFS(Match!$D:$D,$B18,Match!$H:$H,"W"))</f>
        <v/>
      </c>
      <c r="E18" s="29" t="str">
        <f>IF($B18="","",COUNTIFS(Match!$D:$D,$B18,Match!$H:$H,"L"))</f>
        <v/>
      </c>
      <c r="F18" s="40" t="str">
        <f t="shared" si="1"/>
        <v/>
      </c>
      <c r="G18" s="40" t="str">
        <f>IF($B18="","",IFERROR(COUNTIFS(Match!$D:$D,$B18,Match!$G:$G,1,Match!$H:$H,"W")/COUNTIFS(Match!$D:$D,$B18,Match!$G:$G,1),""))</f>
        <v/>
      </c>
      <c r="H18" s="40" t="str">
        <f>IF($B18="","",IFERROR(COUNTIFS(Match!$D:$D,$B18,Match!$G:$G,2,Match!$H:$H,"W")/COUNTIFS(Match!$D:$D,$B18,Match!$G:$G,2),""))</f>
        <v/>
      </c>
    </row>
    <row r="19">
      <c r="B19" s="19" t="str">
        <f>IF(Liste!$A$13="","",Liste!$A$13)</f>
        <v/>
      </c>
      <c r="C19" s="29" t="str">
        <f>IF($B19="","",COUNTIFS(Match!$D:$D,$B19))</f>
        <v/>
      </c>
      <c r="D19" s="29" t="str">
        <f>IF($B19="","",COUNTIFS(Match!$D:$D,$B19,Match!$H:$H,"W"))</f>
        <v/>
      </c>
      <c r="E19" s="29" t="str">
        <f>IF($B19="","",COUNTIFS(Match!$D:$D,$B19,Match!$H:$H,"L"))</f>
        <v/>
      </c>
      <c r="F19" s="40" t="str">
        <f t="shared" si="1"/>
        <v/>
      </c>
      <c r="G19" s="40" t="str">
        <f>IF($B19="","",IFERROR(COUNTIFS(Match!$D:$D,$B19,Match!$G:$G,1,Match!$H:$H,"W")/COUNTIFS(Match!$D:$D,$B19,Match!$G:$G,1),""))</f>
        <v/>
      </c>
      <c r="H19" s="40" t="str">
        <f>IF($B19="","",IFERROR(COUNTIFS(Match!$D:$D,$B19,Match!$G:$G,2,Match!$H:$H,"W")/COUNTIFS(Match!$D:$D,$B19,Match!$G:$G,2),""))</f>
        <v/>
      </c>
    </row>
    <row r="20">
      <c r="B20" s="19" t="str">
        <f>IF(Liste!$A$14="","",Liste!$A$14)</f>
        <v/>
      </c>
      <c r="C20" s="29" t="str">
        <f>IF($B20="","",COUNTIFS(Match!$D:$D,$B20))</f>
        <v/>
      </c>
      <c r="D20" s="29" t="str">
        <f>IF($B20="","",COUNTIFS(Match!$D:$D,$B20,Match!$H:$H,"W"))</f>
        <v/>
      </c>
      <c r="E20" s="29" t="str">
        <f>IF($B20="","",COUNTIFS(Match!$D:$D,$B20,Match!$H:$H,"L"))</f>
        <v/>
      </c>
      <c r="F20" s="40" t="str">
        <f t="shared" si="1"/>
        <v/>
      </c>
      <c r="G20" s="40" t="str">
        <f>IF($B20="","",IFERROR(COUNTIFS(Match!$D:$D,$B20,Match!$G:$G,1,Match!$H:$H,"W")/COUNTIFS(Match!$D:$D,$B20,Match!$G:$G,1),""))</f>
        <v/>
      </c>
      <c r="H20" s="40" t="str">
        <f>IF($B20="","",IFERROR(COUNTIFS(Match!$D:$D,$B20,Match!$G:$G,2,Match!$H:$H,"W")/COUNTIFS(Match!$D:$D,$B20,Match!$G:$G,2),""))</f>
        <v/>
      </c>
    </row>
    <row r="21" ht="15.75" customHeight="1">
      <c r="B21" s="19" t="str">
        <f>IF(Liste!$A$15="","",Liste!$A$15)</f>
        <v/>
      </c>
      <c r="C21" s="29" t="str">
        <f>IF($B21="","",COUNTIFS(Match!$D:$D,$B21))</f>
        <v/>
      </c>
      <c r="D21" s="29" t="str">
        <f>IF($B21="","",COUNTIFS(Match!$D:$D,$B21,Match!$H:$H,"W"))</f>
        <v/>
      </c>
      <c r="E21" s="29" t="str">
        <f>IF($B21="","",COUNTIFS(Match!$D:$D,$B21,Match!$H:$H,"L"))</f>
        <v/>
      </c>
      <c r="F21" s="40" t="str">
        <f t="shared" si="1"/>
        <v/>
      </c>
      <c r="G21" s="40" t="str">
        <f>IF($B21="","",IFERROR(COUNTIFS(Match!$D:$D,$B21,Match!$G:$G,1,Match!$H:$H,"W")/COUNTIFS(Match!$D:$D,$B21,Match!$G:$G,1),""))</f>
        <v/>
      </c>
      <c r="H21" s="40" t="str">
        <f>IF($B21="","",IFERROR(COUNTIFS(Match!$D:$D,$B21,Match!$G:$G,2,Match!$H:$H,"W")/COUNTIFS(Match!$D:$D,$B21,Match!$G:$G,2),""))</f>
        <v/>
      </c>
    </row>
    <row r="22" ht="15.75" customHeight="1">
      <c r="B22" s="19" t="str">
        <f>IF(Liste!$A$16="","",Liste!$A$16)</f>
        <v/>
      </c>
      <c r="C22" s="29" t="str">
        <f>IF($B22="","",COUNTIFS(Match!$D:$D,$B22))</f>
        <v/>
      </c>
      <c r="D22" s="29" t="str">
        <f>IF($B22="","",COUNTIFS(Match!$D:$D,$B22,Match!$H:$H,"W"))</f>
        <v/>
      </c>
      <c r="E22" s="29" t="str">
        <f>IF($B22="","",COUNTIFS(Match!$D:$D,$B22,Match!$H:$H,"L"))</f>
        <v/>
      </c>
      <c r="F22" s="40" t="str">
        <f t="shared" si="1"/>
        <v/>
      </c>
      <c r="G22" s="40" t="str">
        <f>IF($B22="","",IFERROR(COUNTIFS(Match!$D:$D,$B22,Match!$G:$G,1,Match!$H:$H,"W")/COUNTIFS(Match!$D:$D,$B22,Match!$G:$G,1),""))</f>
        <v/>
      </c>
      <c r="H22" s="40" t="str">
        <f>IF($B22="","",IFERROR(COUNTIFS(Match!$D:$D,$B22,Match!$G:$G,2,Match!$H:$H,"W")/COUNTIFS(Match!$D:$D,$B22,Match!$G:$G,2),""))</f>
        <v/>
      </c>
    </row>
    <row r="23" ht="15.75" customHeight="1">
      <c r="B23" s="19" t="str">
        <f>IF(Liste!$A$17="","",Liste!$A$17)</f>
        <v/>
      </c>
      <c r="C23" s="29" t="str">
        <f>IF($B23="","",COUNTIFS(Match!$D:$D,$B23))</f>
        <v/>
      </c>
      <c r="D23" s="29" t="str">
        <f>IF($B23="","",COUNTIFS(Match!$D:$D,$B23,Match!$H:$H,"W"))</f>
        <v/>
      </c>
      <c r="E23" s="29" t="str">
        <f>IF($B23="","",COUNTIFS(Match!$D:$D,$B23,Match!$H:$H,"L"))</f>
        <v/>
      </c>
      <c r="F23" s="40" t="str">
        <f t="shared" si="1"/>
        <v/>
      </c>
      <c r="G23" s="40" t="str">
        <f>IF($B23="","",IFERROR(COUNTIFS(Match!$D:$D,$B23,Match!$G:$G,1,Match!$H:$H,"W")/COUNTIFS(Match!$D:$D,$B23,Match!$G:$G,1),""))</f>
        <v/>
      </c>
      <c r="H23" s="40" t="str">
        <f>IF($B23="","",IFERROR(COUNTIFS(Match!$D:$D,$B23,Match!$G:$G,2,Match!$H:$H,"W")/COUNTIFS(Match!$D:$D,$B23,Match!$G:$G,2),""))</f>
        <v/>
      </c>
    </row>
    <row r="24" ht="15.75" customHeight="1">
      <c r="B24" s="19" t="str">
        <f>IF(Liste!$A$18="","",Liste!$A$18)</f>
        <v/>
      </c>
      <c r="C24" s="29" t="str">
        <f>IF($B24="","",COUNTIFS(Match!$D:$D,$B24))</f>
        <v/>
      </c>
      <c r="D24" s="29" t="str">
        <f>IF($B24="","",COUNTIFS(Match!$D:$D,$B24,Match!$H:$H,"W"))</f>
        <v/>
      </c>
      <c r="E24" s="29" t="str">
        <f>IF($B24="","",COUNTIFS(Match!$D:$D,$B24,Match!$H:$H,"L"))</f>
        <v/>
      </c>
      <c r="F24" s="40" t="str">
        <f t="shared" si="1"/>
        <v/>
      </c>
      <c r="G24" s="40" t="str">
        <f>IF($B24="","",IFERROR(COUNTIFS(Match!$D:$D,$B24,Match!$G:$G,1,Match!$H:$H,"W")/COUNTIFS(Match!$D:$D,$B24,Match!$G:$G,1),""))</f>
        <v/>
      </c>
      <c r="H24" s="40" t="str">
        <f>IF($B24="","",IFERROR(COUNTIFS(Match!$D:$D,$B24,Match!$G:$G,2,Match!$H:$H,"W")/COUNTIFS(Match!$D:$D,$B24,Match!$G:$G,2),""))</f>
        <v/>
      </c>
    </row>
    <row r="25" ht="15.75" customHeight="1">
      <c r="B25" s="19" t="str">
        <f>IF(Liste!$A$19="","",Liste!$A$19)</f>
        <v/>
      </c>
      <c r="C25" s="29" t="str">
        <f>IF($B25="","",COUNTIFS(Match!$D:$D,$B25))</f>
        <v/>
      </c>
      <c r="D25" s="29" t="str">
        <f>IF($B25="","",COUNTIFS(Match!$D:$D,$B25,Match!$H:$H,"W"))</f>
        <v/>
      </c>
      <c r="E25" s="29" t="str">
        <f>IF($B25="","",COUNTIFS(Match!$D:$D,$B25,Match!$H:$H,"L"))</f>
        <v/>
      </c>
      <c r="F25" s="40" t="str">
        <f t="shared" si="1"/>
        <v/>
      </c>
      <c r="G25" s="40" t="str">
        <f>IF($B25="","",IFERROR(COUNTIFS(Match!$D:$D,$B25,Match!$G:$G,1,Match!$H:$H,"W")/COUNTIFS(Match!$D:$D,$B25,Match!$G:$G,1),""))</f>
        <v/>
      </c>
      <c r="H25" s="40" t="str">
        <f>IF($B25="","",IFERROR(COUNTIFS(Match!$D:$D,$B25,Match!$G:$G,2,Match!$H:$H,"W")/COUNTIFS(Match!$D:$D,$B25,Match!$G:$G,2),""))</f>
        <v/>
      </c>
    </row>
    <row r="26" ht="15.75" customHeight="1">
      <c r="B26" s="19" t="str">
        <f>IF(Liste!$A$20="","",Liste!$A$20)</f>
        <v/>
      </c>
      <c r="C26" s="29" t="str">
        <f>IF($B26="","",COUNTIFS(Match!$D:$D,$B26))</f>
        <v/>
      </c>
      <c r="D26" s="29" t="str">
        <f>IF($B26="","",COUNTIFS(Match!$D:$D,$B26,Match!$H:$H,"W"))</f>
        <v/>
      </c>
      <c r="E26" s="29" t="str">
        <f>IF($B26="","",COUNTIFS(Match!$D:$D,$B26,Match!$H:$H,"L"))</f>
        <v/>
      </c>
      <c r="F26" s="40" t="str">
        <f t="shared" si="1"/>
        <v/>
      </c>
      <c r="G26" s="40" t="str">
        <f>IF($B26="","",IFERROR(COUNTIFS(Match!$D:$D,$B26,Match!$G:$G,1,Match!$H:$H,"W")/COUNTIFS(Match!$D:$D,$B26,Match!$G:$G,1),""))</f>
        <v/>
      </c>
      <c r="H26" s="40" t="str">
        <f>IF($B26="","",IFERROR(COUNTIFS(Match!$D:$D,$B26,Match!$G:$G,2,Match!$H:$H,"W")/COUNTIFS(Match!$D:$D,$B26,Match!$G:$G,2),""))</f>
        <v/>
      </c>
    </row>
    <row r="27" ht="15.75" customHeight="1">
      <c r="B27" s="19" t="str">
        <f>IF(Liste!$A$21="","",Liste!$A$21)</f>
        <v/>
      </c>
      <c r="C27" s="29" t="str">
        <f>IF($B27="","",COUNTIFS(Match!$D:$D,$B27))</f>
        <v/>
      </c>
      <c r="D27" s="29" t="str">
        <f>IF($B27="","",COUNTIFS(Match!$D:$D,$B27,Match!$H:$H,"W"))</f>
        <v/>
      </c>
      <c r="E27" s="29" t="str">
        <f>IF($B27="","",COUNTIFS(Match!$D:$D,$B27,Match!$H:$H,"L"))</f>
        <v/>
      </c>
      <c r="F27" s="40" t="str">
        <f t="shared" si="1"/>
        <v/>
      </c>
      <c r="G27" s="40" t="str">
        <f>IF($B27="","",IFERROR(COUNTIFS(Match!$D:$D,$B27,Match!$G:$G,1,Match!$H:$H,"W")/COUNTIFS(Match!$D:$D,$B27,Match!$G:$G,1),""))</f>
        <v/>
      </c>
      <c r="H27" s="40" t="str">
        <f>IF($B27="","",IFERROR(COUNTIFS(Match!$D:$D,$B27,Match!$G:$G,2,Match!$H:$H,"W")/COUNTIFS(Match!$D:$D,$B27,Match!$G:$G,2),""))</f>
        <v/>
      </c>
    </row>
    <row r="28" ht="15.75" customHeight="1">
      <c r="B28" s="19" t="str">
        <f>IF(Liste!$A$22="","",Liste!$A$22)</f>
        <v/>
      </c>
      <c r="C28" s="29" t="str">
        <f>IF($B28="","",COUNTIFS(Match!$D:$D,$B28))</f>
        <v/>
      </c>
      <c r="D28" s="29" t="str">
        <f>IF($B28="","",COUNTIFS(Match!$D:$D,$B28,Match!$H:$H,"W"))</f>
        <v/>
      </c>
      <c r="E28" s="29" t="str">
        <f>IF($B28="","",COUNTIFS(Match!$D:$D,$B28,Match!$H:$H,"L"))</f>
        <v/>
      </c>
      <c r="F28" s="40" t="str">
        <f t="shared" si="1"/>
        <v/>
      </c>
      <c r="G28" s="40" t="str">
        <f>IF($B28="","",IFERROR(COUNTIFS(Match!$D:$D,$B28,Match!$G:$G,1,Match!$H:$H,"W")/COUNTIFS(Match!$D:$D,$B28,Match!$G:$G,1),""))</f>
        <v/>
      </c>
      <c r="H28" s="40" t="str">
        <f>IF($B28="","",IFERROR(COUNTIFS(Match!$D:$D,$B28,Match!$G:$G,2,Match!$H:$H,"W")/COUNTIFS(Match!$D:$D,$B28,Match!$G:$G,2),""))</f>
        <v/>
      </c>
    </row>
    <row r="29" ht="15.75" customHeight="1">
      <c r="B29" s="19" t="str">
        <f>IF(Liste!$A$23="","",Liste!$A$23)</f>
        <v/>
      </c>
      <c r="C29" s="29" t="str">
        <f>IF($B29="","",COUNTIFS(Match!$D:$D,$B29))</f>
        <v/>
      </c>
      <c r="D29" s="29" t="str">
        <f>IF($B29="","",COUNTIFS(Match!$D:$D,$B29,Match!$H:$H,"W"))</f>
        <v/>
      </c>
      <c r="E29" s="29" t="str">
        <f>IF($B29="","",COUNTIFS(Match!$D:$D,$B29,Match!$H:$H,"L"))</f>
        <v/>
      </c>
      <c r="F29" s="40" t="str">
        <f t="shared" si="1"/>
        <v/>
      </c>
      <c r="G29" s="40" t="str">
        <f>IF($B29="","",IFERROR(COUNTIFS(Match!$D:$D,$B29,Match!$G:$G,1,Match!$H:$H,"W")/COUNTIFS(Match!$D:$D,$B29,Match!$G:$G,1),""))</f>
        <v/>
      </c>
      <c r="H29" s="40" t="str">
        <f>IF($B29="","",IFERROR(COUNTIFS(Match!$D:$D,$B29,Match!$G:$G,2,Match!$H:$H,"W")/COUNTIFS(Match!$D:$D,$B29,Match!$G:$G,2),""))</f>
        <v/>
      </c>
    </row>
    <row r="30" ht="15.75" customHeight="1">
      <c r="B30" s="19" t="str">
        <f>IF(Liste!$A$24="","",Liste!$A$24)</f>
        <v/>
      </c>
      <c r="C30" s="29" t="str">
        <f>IF($B30="","",COUNTIFS(Match!$D:$D,$B30))</f>
        <v/>
      </c>
      <c r="D30" s="29" t="str">
        <f>IF($B30="","",COUNTIFS(Match!$D:$D,$B30,Match!$H:$H,"W"))</f>
        <v/>
      </c>
      <c r="E30" s="29" t="str">
        <f>IF($B30="","",COUNTIFS(Match!$D:$D,$B30,Match!$H:$H,"L"))</f>
        <v/>
      </c>
      <c r="F30" s="40" t="str">
        <f t="shared" si="1"/>
        <v/>
      </c>
      <c r="G30" s="40" t="str">
        <f>IF($B30="","",IFERROR(COUNTIFS(Match!$D:$D,$B30,Match!$G:$G,1,Match!$H:$H,"W")/COUNTIFS(Match!$D:$D,$B30,Match!$G:$G,1),""))</f>
        <v/>
      </c>
      <c r="H30" s="40" t="str">
        <f>IF($B30="","",IFERROR(COUNTIFS(Match!$D:$D,$B30,Match!$G:$G,2,Match!$H:$H,"W")/COUNTIFS(Match!$D:$D,$B30,Match!$G:$G,2),""))</f>
        <v/>
      </c>
    </row>
    <row r="31" ht="15.75" customHeight="1">
      <c r="B31" s="19" t="str">
        <f>IF(Liste!$A$25="","",Liste!$A$25)</f>
        <v/>
      </c>
      <c r="C31" s="29" t="str">
        <f>IF($B31="","",COUNTIFS(Match!$D:$D,$B31))</f>
        <v/>
      </c>
      <c r="D31" s="29" t="str">
        <f>IF($B31="","",COUNTIFS(Match!$D:$D,$B31,Match!$H:$H,"W"))</f>
        <v/>
      </c>
      <c r="E31" s="29" t="str">
        <f>IF($B31="","",COUNTIFS(Match!$D:$D,$B31,Match!$H:$H,"L"))</f>
        <v/>
      </c>
      <c r="F31" s="40" t="str">
        <f t="shared" si="1"/>
        <v/>
      </c>
      <c r="G31" s="40" t="str">
        <f>IF($B31="","",IFERROR(COUNTIFS(Match!$D:$D,$B31,Match!$G:$G,1,Match!$H:$H,"W")/COUNTIFS(Match!$D:$D,$B31,Match!$G:$G,1),""))</f>
        <v/>
      </c>
      <c r="H31" s="40" t="str">
        <f>IF($B31="","",IFERROR(COUNTIFS(Match!$D:$D,$B31,Match!$G:$G,2,Match!$H:$H,"W")/COUNTIFS(Match!$D:$D,$B31,Match!$G:$G,2),""))</f>
        <v/>
      </c>
    </row>
    <row r="32" ht="15.75" customHeight="1">
      <c r="B32" s="19" t="str">
        <f>IF(Liste!$A$26="","",Liste!$A$26)</f>
        <v/>
      </c>
      <c r="C32" s="29" t="str">
        <f>IF($B32="","",COUNTIFS(Match!$D:$D,$B32))</f>
        <v/>
      </c>
      <c r="D32" s="29" t="str">
        <f>IF($B32="","",COUNTIFS(Match!$D:$D,$B32,Match!$H:$H,"W"))</f>
        <v/>
      </c>
      <c r="E32" s="29" t="str">
        <f>IF($B32="","",COUNTIFS(Match!$D:$D,$B32,Match!$H:$H,"L"))</f>
        <v/>
      </c>
      <c r="F32" s="40" t="str">
        <f t="shared" si="1"/>
        <v/>
      </c>
      <c r="G32" s="40" t="str">
        <f>IF($B32="","",IFERROR(COUNTIFS(Match!$D:$D,$B32,Match!$G:$G,1,Match!$H:$H,"W")/COUNTIFS(Match!$D:$D,$B32,Match!$G:$G,1),""))</f>
        <v/>
      </c>
      <c r="H32" s="40" t="str">
        <f>IF($B32="","",IFERROR(COUNTIFS(Match!$D:$D,$B32,Match!$G:$G,2,Match!$H:$H,"W")/COUNTIFS(Match!$D:$D,$B32,Match!$G:$G,2),""))</f>
        <v/>
      </c>
    </row>
    <row r="33" ht="15.75" customHeight="1">
      <c r="B33" s="19" t="str">
        <f>IF(Liste!$A$27="","",Liste!$A$27)</f>
        <v/>
      </c>
      <c r="C33" s="29" t="str">
        <f>IF($B33="","",COUNTIFS(Match!$D:$D,$B33))</f>
        <v/>
      </c>
      <c r="D33" s="29" t="str">
        <f>IF($B33="","",COUNTIFS(Match!$D:$D,$B33,Match!$H:$H,"W"))</f>
        <v/>
      </c>
      <c r="E33" s="29" t="str">
        <f>IF($B33="","",COUNTIFS(Match!$D:$D,$B33,Match!$H:$H,"L"))</f>
        <v/>
      </c>
      <c r="F33" s="40" t="str">
        <f t="shared" si="1"/>
        <v/>
      </c>
      <c r="G33" s="40" t="str">
        <f>IF($B33="","",IFERROR(COUNTIFS(Match!$D:$D,$B33,Match!$G:$G,1,Match!$H:$H,"W")/COUNTIFS(Match!$D:$D,$B33,Match!$G:$G,1),""))</f>
        <v/>
      </c>
      <c r="H33" s="40" t="str">
        <f>IF($B33="","",IFERROR(COUNTIFS(Match!$D:$D,$B33,Match!$G:$G,2,Match!$H:$H,"W")/COUNTIFS(Match!$D:$D,$B33,Match!$G:$G,2),""))</f>
        <v/>
      </c>
    </row>
    <row r="34" ht="15.75" customHeight="1">
      <c r="B34" s="19" t="str">
        <f>IF(Liste!$A$28="","",Liste!$A$28)</f>
        <v/>
      </c>
      <c r="C34" s="29" t="str">
        <f>IF($B34="","",COUNTIFS(Match!$D:$D,$B34))</f>
        <v/>
      </c>
      <c r="D34" s="29" t="str">
        <f>IF($B34="","",COUNTIFS(Match!$D:$D,$B34,Match!$H:$H,"W"))</f>
        <v/>
      </c>
      <c r="E34" s="29" t="str">
        <f>IF($B34="","",COUNTIFS(Match!$D:$D,$B34,Match!$H:$H,"L"))</f>
        <v/>
      </c>
      <c r="F34" s="40" t="str">
        <f t="shared" si="1"/>
        <v/>
      </c>
      <c r="G34" s="40" t="str">
        <f>IF($B34="","",IFERROR(COUNTIFS(Match!$D:$D,$B34,Match!$G:$G,1,Match!$H:$H,"W")/COUNTIFS(Match!$D:$D,$B34,Match!$G:$G,1),""))</f>
        <v/>
      </c>
      <c r="H34" s="40" t="str">
        <f>IF($B34="","",IFERROR(COUNTIFS(Match!$D:$D,$B34,Match!$G:$G,2,Match!$H:$H,"W")/COUNTIFS(Match!$D:$D,$B34,Match!$G:$G,2),""))</f>
        <v/>
      </c>
    </row>
    <row r="35" ht="15.75" customHeight="1">
      <c r="B35" s="19" t="str">
        <f>IF(Liste!$A$29="","",Liste!$A$29)</f>
        <v/>
      </c>
      <c r="C35" s="29" t="str">
        <f>IF($B35="","",COUNTIFS(Match!$D:$D,$B35))</f>
        <v/>
      </c>
      <c r="D35" s="29" t="str">
        <f>IF($B35="","",COUNTIFS(Match!$D:$D,$B35,Match!$H:$H,"W"))</f>
        <v/>
      </c>
      <c r="E35" s="29" t="str">
        <f>IF($B35="","",COUNTIFS(Match!$D:$D,$B35,Match!$H:$H,"L"))</f>
        <v/>
      </c>
      <c r="F35" s="40" t="str">
        <f t="shared" si="1"/>
        <v/>
      </c>
      <c r="G35" s="40" t="str">
        <f>IF($B35="","",IFERROR(COUNTIFS(Match!$D:$D,$B35,Match!$G:$G,1,Match!$H:$H,"W")/COUNTIFS(Match!$D:$D,$B35,Match!$G:$G,1),""))</f>
        <v/>
      </c>
      <c r="H35" s="40" t="str">
        <f>IF($B35="","",IFERROR(COUNTIFS(Match!$D:$D,$B35,Match!$G:$G,2,Match!$H:$H,"W")/COUNTIFS(Match!$D:$D,$B35,Match!$G:$G,2),""))</f>
        <v/>
      </c>
    </row>
    <row r="36" ht="15.75" customHeight="1">
      <c r="B36" s="19" t="str">
        <f>IF(Liste!$A$30="","",Liste!$A$30)</f>
        <v/>
      </c>
      <c r="C36" s="29" t="str">
        <f>IF($B36="","",COUNTIFS(Match!$D:$D,$B36))</f>
        <v/>
      </c>
      <c r="D36" s="29" t="str">
        <f>IF($B36="","",COUNTIFS(Match!$D:$D,$B36,Match!$H:$H,"W"))</f>
        <v/>
      </c>
      <c r="E36" s="29" t="str">
        <f>IF($B36="","",COUNTIFS(Match!$D:$D,$B36,Match!$H:$H,"L"))</f>
        <v/>
      </c>
      <c r="F36" s="40" t="str">
        <f t="shared" si="1"/>
        <v/>
      </c>
      <c r="G36" s="40" t="str">
        <f>IF($B36="","",IFERROR(COUNTIFS(Match!$D:$D,$B36,Match!$G:$G,1,Match!$H:$H,"W")/COUNTIFS(Match!$D:$D,$B36,Match!$G:$G,1),""))</f>
        <v/>
      </c>
      <c r="H36" s="40" t="str">
        <f>IF($B36="","",IFERROR(COUNTIFS(Match!$D:$D,$B36,Match!$G:$G,2,Match!$H:$H,"W")/COUNTIFS(Match!$D:$D,$B36,Match!$G:$G,2),""))</f>
        <v/>
      </c>
    </row>
    <row r="37" ht="15.75" customHeight="1">
      <c r="B37" s="19" t="str">
        <f>IF(Liste!$A$31="","",Liste!$A$31)</f>
        <v/>
      </c>
      <c r="C37" s="29" t="str">
        <f>IF($B37="","",COUNTIFS(Match!$D:$D,$B37))</f>
        <v/>
      </c>
      <c r="D37" s="29" t="str">
        <f>IF($B37="","",COUNTIFS(Match!$D:$D,$B37,Match!$H:$H,"W"))</f>
        <v/>
      </c>
      <c r="E37" s="29" t="str">
        <f>IF($B37="","",COUNTIFS(Match!$D:$D,$B37,Match!$H:$H,"L"))</f>
        <v/>
      </c>
      <c r="F37" s="40" t="str">
        <f t="shared" si="1"/>
        <v/>
      </c>
      <c r="G37" s="40" t="str">
        <f>IF($B37="","",IFERROR(COUNTIFS(Match!$D:$D,$B37,Match!$G:$G,1,Match!$H:$H,"W")/COUNTIFS(Match!$D:$D,$B37,Match!$G:$G,1),""))</f>
        <v/>
      </c>
      <c r="H37" s="40" t="str">
        <f>IF($B37="","",IFERROR(COUNTIFS(Match!$D:$D,$B37,Match!$G:$G,2,Match!$H:$H,"W")/COUNTIFS(Match!$D:$D,$B37,Match!$G:$G,2),""))</f>
        <v/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I2"/>
    <mergeCell ref="B6:H6"/>
  </mergeCells>
  <conditionalFormatting sqref="F8:F37">
    <cfRule type="colorScale" priority="1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/>
  <cols>
    <col customWidth="1" min="1" max="1" width="3.0"/>
    <col customWidth="1" min="2" max="2" width="26.0"/>
    <col customWidth="1" min="3" max="11" width="13.0"/>
    <col customWidth="1" min="12" max="12" width="26.0"/>
    <col customWidth="1" min="13" max="21" width="13.0"/>
    <col customWidth="1" min="22" max="26" width="8.63"/>
  </cols>
  <sheetData>
    <row r="2" ht="30.0" customHeight="1">
      <c r="B2" s="5" t="s">
        <v>3</v>
      </c>
      <c r="C2" s="6"/>
      <c r="D2" s="6"/>
      <c r="E2" s="6"/>
      <c r="F2" s="6"/>
      <c r="G2" s="6"/>
      <c r="H2" s="6"/>
      <c r="I2" s="6"/>
      <c r="J2" s="6"/>
      <c r="K2" s="8"/>
      <c r="M2" s="9" t="s">
        <v>14</v>
      </c>
      <c r="N2" s="6"/>
      <c r="O2" s="6"/>
      <c r="P2" s="6"/>
      <c r="Q2" s="6"/>
      <c r="R2" s="6"/>
      <c r="S2" s="6"/>
      <c r="T2" s="6"/>
      <c r="U2" s="8"/>
    </row>
    <row r="3" ht="33.75" customHeight="1">
      <c r="B3" s="10" t="s">
        <v>24</v>
      </c>
    </row>
    <row r="5">
      <c r="B5" s="11" t="s">
        <v>29</v>
      </c>
      <c r="C5" s="12" t="s">
        <v>34</v>
      </c>
      <c r="D5" s="12" t="s">
        <v>38</v>
      </c>
      <c r="E5" s="14" t="s">
        <v>42</v>
      </c>
      <c r="F5" s="12" t="s">
        <v>46</v>
      </c>
      <c r="G5" s="14" t="s">
        <v>49</v>
      </c>
      <c r="H5" s="14" t="s">
        <v>52</v>
      </c>
      <c r="I5" s="14" t="s">
        <v>55</v>
      </c>
      <c r="J5" s="14" t="s">
        <v>59</v>
      </c>
      <c r="K5" s="11" t="s">
        <v>62</v>
      </c>
      <c r="L5" s="15" t="s">
        <v>29</v>
      </c>
      <c r="M5" s="18" t="str">
        <f t="shared" ref="M5:T5" si="1">IF(C$5="","",C$5)</f>
        <v>Grimmsnarl v1</v>
      </c>
      <c r="N5" s="18" t="str">
        <f t="shared" si="1"/>
        <v>Dragapult v1</v>
      </c>
      <c r="O5" s="18" t="str">
        <f t="shared" si="1"/>
        <v>Dragapult v2</v>
      </c>
      <c r="P5" s="18" t="str">
        <f t="shared" si="1"/>
        <v>Bolt v1</v>
      </c>
      <c r="Q5" s="18" t="str">
        <f t="shared" si="1"/>
        <v>Mele v1</v>
      </c>
      <c r="R5" s="18" t="str">
        <f t="shared" si="1"/>
        <v>Dragapolli v1</v>
      </c>
      <c r="S5" s="18" t="str">
        <f t="shared" si="1"/>
        <v>Dragapolli v2</v>
      </c>
      <c r="T5" s="18" t="str">
        <f t="shared" si="1"/>
        <v>Dragapolli v3</v>
      </c>
      <c r="U5" s="11" t="s">
        <v>62</v>
      </c>
    </row>
    <row r="6">
      <c r="B6" s="19" t="s">
        <v>71</v>
      </c>
      <c r="C6" s="21">
        <f>IF(OR($B6="",C$5=""),"",IFERROR(COUNTIFS(Match!$E:$E,C$5,Match!$F:$F,$B6,Match!$H:$H,"W")/COUNTIFS(Match!$E:$E,C$5,Match!$F:$F,$B6),""))</f>
        <v>0.4</v>
      </c>
      <c r="D6" s="21">
        <f>IF(OR($B6="",D$5=""),"",IFERROR(COUNTIFS(Match!$E:$E,D$5,Match!$F:$F,$B6,Match!$H:$H,"W")/COUNTIFS(Match!$E:$E,D$5,Match!$F:$F,$B6),""))</f>
        <v>1</v>
      </c>
      <c r="E6" s="21" t="str">
        <f>IF(OR($B6="",E$5=""),"",IFERROR(COUNTIFS(Match!$E:$E,E$5,Match!$F:$F,$B6,Match!$H:$H,"W")/COUNTIFS(Match!$E:$E,E$5,Match!$F:$F,$B6),""))</f>
        <v/>
      </c>
      <c r="F6" s="21">
        <f>IF(OR($B6="",F$5=""),"",IFERROR(COUNTIFS(Match!$E:$E,F$5,Match!$F:$F,$B6,Match!$H:$H,"W")/COUNTIFS(Match!$E:$E,F$5,Match!$F:$F,$B6),""))</f>
        <v>0</v>
      </c>
      <c r="G6" s="21">
        <f>IF(OR($B6="",G$5=""),"",IFERROR(COUNTIFS(Match!$E:$E,G$5,Match!$F:$F,$B6,Match!$H:$H,"W")/COUNTIFS(Match!$E:$E,G$5,Match!$F:$F,$B6),""))</f>
        <v>0</v>
      </c>
      <c r="H6" s="21">
        <f>IF(OR($B6="",H$5=""),"",IFERROR(COUNTIFS(Match!$E:$E,H$5,Match!$F:$F,$B6,Match!$H:$H,"W")/COUNTIFS(Match!$E:$E,H$5,Match!$F:$F,$B6),""))</f>
        <v>0.6666666667</v>
      </c>
      <c r="I6" s="21" t="str">
        <f>IF(OR($B6="",I$5=""),"",IFERROR(COUNTIFS(Match!$E:$E,I$5,Match!$F:$F,$B6,Match!$H:$H,"W")/COUNTIFS(Match!$E:$E,I$5,Match!$F:$F,$B6),""))</f>
        <v/>
      </c>
      <c r="J6" s="21">
        <f>IF(OR($B6="",J$5=""),"",IFERROR(COUNTIFS(Match!$E:$E,J$5,Match!$F:$F,$B6,Match!$H:$H,"W")/COUNTIFS(Match!$E:$E,J$5,Match!$F:$F,$B6),""))</f>
        <v>0</v>
      </c>
      <c r="K6" s="28">
        <f>IF($B6="","",IFERROR(COUNTIFS(Match!$F:$F,$B6,Match!$H:$H,"W")/COUNTIFS(Match!$F:$F,$B6),""))</f>
        <v>0.4</v>
      </c>
      <c r="L6" s="19" t="str">
        <f t="shared" ref="L6:L49" si="2">IF($B6="","",$B6)</f>
        <v>Dragapult ex</v>
      </c>
      <c r="M6" s="29">
        <f>IF(OR($B6="",C$5=""),"",COUNTIFS(Match!$E:$E,C$5,Match!$F:$F,$B6))</f>
        <v>5</v>
      </c>
      <c r="N6" s="29">
        <f>IF(OR($B6="",D$5=""),"",COUNTIFS(Match!$E:$E,D$5,Match!$F:$F,$B6))</f>
        <v>2</v>
      </c>
      <c r="O6" s="29">
        <f>IF(OR($B6="",E$5=""),"",COUNTIFS(Match!$E:$E,E$5,Match!$F:$F,$B6))</f>
        <v>0</v>
      </c>
      <c r="P6" s="29">
        <f>IF(OR($B6="",F$5=""),"",COUNTIFS(Match!$E:$E,F$5,Match!$F:$F,$B6))</f>
        <v>1</v>
      </c>
      <c r="Q6" s="29">
        <f>IF(OR($B6="",G$5=""),"",COUNTIFS(Match!$E:$E,G$5,Match!$F:$F,$B6))</f>
        <v>3</v>
      </c>
      <c r="R6" s="29">
        <f>IF(OR($B6="",H$5=""),"",COUNTIFS(Match!$E:$E,H$5,Match!$F:$F,$B6))</f>
        <v>3</v>
      </c>
      <c r="S6" s="29">
        <f>IF(OR($B6="",I$5=""),"",COUNTIFS(Match!$E:$E,I$5,Match!$F:$F,$B6))</f>
        <v>0</v>
      </c>
      <c r="T6" s="29">
        <f>IF(OR($B6="",J$5=""),"",COUNTIFS(Match!$E:$E,J$5,Match!$F:$F,$B6))</f>
        <v>1</v>
      </c>
      <c r="U6" s="37">
        <f>IF($B6="","",COUNTIFS(Match!$F:$F,$B6))</f>
        <v>15</v>
      </c>
    </row>
    <row r="7">
      <c r="B7" s="19" t="s">
        <v>92</v>
      </c>
      <c r="C7" s="21">
        <f>IF(OR($B7="",C$5=""),"",IFERROR(COUNTIFS(Match!$E:$E,C$5,Match!$F:$F,$B7,Match!$H:$H,"W")/COUNTIFS(Match!$E:$E,C$5,Match!$F:$F,$B7),""))</f>
        <v>0.6666666667</v>
      </c>
      <c r="D7" s="21">
        <f>IF(OR($B7="",D$5=""),"",IFERROR(COUNTIFS(Match!$E:$E,D$5,Match!$F:$F,$B7,Match!$H:$H,"W")/COUNTIFS(Match!$E:$E,D$5,Match!$F:$F,$B7),""))</f>
        <v>0</v>
      </c>
      <c r="E7" s="21" t="str">
        <f>IF(OR($B7="",E$5=""),"",IFERROR(COUNTIFS(Match!$E:$E,E$5,Match!$F:$F,$B7,Match!$H:$H,"W")/COUNTIFS(Match!$E:$E,E$5,Match!$F:$F,$B7),""))</f>
        <v/>
      </c>
      <c r="F7" s="21">
        <f>IF(OR($B7="",F$5=""),"",IFERROR(COUNTIFS(Match!$E:$E,F$5,Match!$F:$F,$B7,Match!$H:$H,"W")/COUNTIFS(Match!$E:$E,F$5,Match!$F:$F,$B7),""))</f>
        <v>0.3333333333</v>
      </c>
      <c r="G7" s="21" t="str">
        <f>IF(OR($B7="",G$5=""),"",IFERROR(COUNTIFS(Match!$E:$E,G$5,Match!$F:$F,$B7,Match!$H:$H,"W")/COUNTIFS(Match!$E:$E,G$5,Match!$F:$F,$B7),""))</f>
        <v/>
      </c>
      <c r="H7" s="21">
        <f>IF(OR($B7="",H$5=""),"",IFERROR(COUNTIFS(Match!$E:$E,H$5,Match!$F:$F,$B7,Match!$H:$H,"W")/COUNTIFS(Match!$E:$E,H$5,Match!$F:$F,$B7),""))</f>
        <v>1</v>
      </c>
      <c r="I7" s="21">
        <f>IF(OR($B7="",I$5=""),"",IFERROR(COUNTIFS(Match!$E:$E,I$5,Match!$F:$F,$B7,Match!$H:$H,"W")/COUNTIFS(Match!$E:$E,I$5,Match!$F:$F,$B7),""))</f>
        <v>1</v>
      </c>
      <c r="J7" s="21" t="str">
        <f>IF(OR($B7="",J$5=""),"",IFERROR(COUNTIFS(Match!$E:$E,J$5,Match!$F:$F,$B7,Match!$H:$H,"W")/COUNTIFS(Match!$E:$E,J$5,Match!$F:$F,$B7),""))</f>
        <v/>
      </c>
      <c r="K7" s="28">
        <f>IF($B7="","",IFERROR(COUNTIFS(Match!$F:$F,$B7,Match!$H:$H,"W")/COUNTIFS(Match!$F:$F,$B7),""))</f>
        <v>0.6</v>
      </c>
      <c r="L7" s="19" t="str">
        <f t="shared" si="2"/>
        <v>MegaExcadrill ex</v>
      </c>
      <c r="M7" s="29">
        <f>IF(OR($B7="",C$5=""),"",COUNTIFS(Match!$E:$E,C$5,Match!$F:$F,$B7))</f>
        <v>3</v>
      </c>
      <c r="N7" s="29">
        <f>IF(OR($B7="",D$5=""),"",COUNTIFS(Match!$E:$E,D$5,Match!$F:$F,$B7))</f>
        <v>1</v>
      </c>
      <c r="O7" s="29">
        <f>IF(OR($B7="",E$5=""),"",COUNTIFS(Match!$E:$E,E$5,Match!$F:$F,$B7))</f>
        <v>0</v>
      </c>
      <c r="P7" s="29">
        <f>IF(OR($B7="",F$5=""),"",COUNTIFS(Match!$E:$E,F$5,Match!$F:$F,$B7))</f>
        <v>3</v>
      </c>
      <c r="Q7" s="29">
        <f>IF(OR($B7="",G$5=""),"",COUNTIFS(Match!$E:$E,G$5,Match!$F:$F,$B7))</f>
        <v>0</v>
      </c>
      <c r="R7" s="29">
        <f>IF(OR($B7="",H$5=""),"",COUNTIFS(Match!$E:$E,H$5,Match!$F:$F,$B7))</f>
        <v>2</v>
      </c>
      <c r="S7" s="29">
        <f>IF(OR($B7="",I$5=""),"",COUNTIFS(Match!$E:$E,I$5,Match!$F:$F,$B7))</f>
        <v>1</v>
      </c>
      <c r="T7" s="29">
        <f>IF(OR($B7="",J$5=""),"",COUNTIFS(Match!$E:$E,J$5,Match!$F:$F,$B7))</f>
        <v>0</v>
      </c>
      <c r="U7" s="37">
        <f>IF($B7="","",COUNTIFS(Match!$F:$F,$B7))</f>
        <v>10</v>
      </c>
    </row>
    <row r="8">
      <c r="B8" s="19" t="s">
        <v>83</v>
      </c>
      <c r="C8" s="21">
        <f>IF(OR($B8="",C$5=""),"",IFERROR(COUNTIFS(Match!$E:$E,C$5,Match!$F:$F,$B8,Match!$H:$H,"W")/COUNTIFS(Match!$E:$E,C$5,Match!$F:$F,$B8),""))</f>
        <v>1</v>
      </c>
      <c r="D8" s="21">
        <f>IF(OR($B8="",D$5=""),"",IFERROR(COUNTIFS(Match!$E:$E,D$5,Match!$F:$F,$B8,Match!$H:$H,"W")/COUNTIFS(Match!$E:$E,D$5,Match!$F:$F,$B8),""))</f>
        <v>0.6666666667</v>
      </c>
      <c r="E8" s="21">
        <f>IF(OR($B8="",E$5=""),"",IFERROR(COUNTIFS(Match!$E:$E,E$5,Match!$F:$F,$B8,Match!$H:$H,"W")/COUNTIFS(Match!$E:$E,E$5,Match!$F:$F,$B8),""))</f>
        <v>0</v>
      </c>
      <c r="F8" s="21" t="str">
        <f>IF(OR($B8="",F$5=""),"",IFERROR(COUNTIFS(Match!$E:$E,F$5,Match!$F:$F,$B8,Match!$H:$H,"W")/COUNTIFS(Match!$E:$E,F$5,Match!$F:$F,$B8),""))</f>
        <v/>
      </c>
      <c r="G8" s="21" t="str">
        <f>IF(OR($B8="",G$5=""),"",IFERROR(COUNTIFS(Match!$E:$E,G$5,Match!$F:$F,$B8,Match!$H:$H,"W")/COUNTIFS(Match!$E:$E,G$5,Match!$F:$F,$B8),""))</f>
        <v/>
      </c>
      <c r="H8" s="21">
        <f>IF(OR($B8="",H$5=""),"",IFERROR(COUNTIFS(Match!$E:$E,H$5,Match!$F:$F,$B8,Match!$H:$H,"W")/COUNTIFS(Match!$E:$E,H$5,Match!$F:$F,$B8),""))</f>
        <v>1</v>
      </c>
      <c r="I8" s="21">
        <f>IF(OR($B8="",I$5=""),"",IFERROR(COUNTIFS(Match!$E:$E,I$5,Match!$F:$F,$B8,Match!$H:$H,"W")/COUNTIFS(Match!$E:$E,I$5,Match!$F:$F,$B8),""))</f>
        <v>0.5</v>
      </c>
      <c r="J8" s="21">
        <f>IF(OR($B8="",J$5=""),"",IFERROR(COUNTIFS(Match!$E:$E,J$5,Match!$F:$F,$B8,Match!$H:$H,"W")/COUNTIFS(Match!$E:$E,J$5,Match!$F:$F,$B8),""))</f>
        <v>1</v>
      </c>
      <c r="K8" s="28">
        <f>IF($B8="","",IFERROR(COUNTIFS(Match!$F:$F,$B8,Match!$H:$H,"W")/COUNTIFS(Match!$F:$F,$B8),""))</f>
        <v>0.7272727273</v>
      </c>
      <c r="L8" s="19" t="str">
        <f t="shared" si="2"/>
        <v>Alakazam Dudunsparce</v>
      </c>
      <c r="M8" s="29">
        <f>IF(OR($B8="",C$5=""),"",COUNTIFS(Match!$E:$E,C$5,Match!$F:$F,$B8))</f>
        <v>1</v>
      </c>
      <c r="N8" s="29">
        <f>IF(OR($B8="",D$5=""),"",COUNTIFS(Match!$E:$E,D$5,Match!$F:$F,$B8))</f>
        <v>3</v>
      </c>
      <c r="O8" s="29">
        <f>IF(OR($B8="",E$5=""),"",COUNTIFS(Match!$E:$E,E$5,Match!$F:$F,$B8))</f>
        <v>1</v>
      </c>
      <c r="P8" s="29">
        <f>IF(OR($B8="",F$5=""),"",COUNTIFS(Match!$E:$E,F$5,Match!$F:$F,$B8))</f>
        <v>0</v>
      </c>
      <c r="Q8" s="29">
        <f>IF(OR($B8="",G$5=""),"",COUNTIFS(Match!$E:$E,G$5,Match!$F:$F,$B8))</f>
        <v>0</v>
      </c>
      <c r="R8" s="29">
        <f>IF(OR($B8="",H$5=""),"",COUNTIFS(Match!$E:$E,H$5,Match!$F:$F,$B8))</f>
        <v>3</v>
      </c>
      <c r="S8" s="29">
        <f>IF(OR($B8="",I$5=""),"",COUNTIFS(Match!$E:$E,I$5,Match!$F:$F,$B8))</f>
        <v>2</v>
      </c>
      <c r="T8" s="29">
        <f>IF(OR($B8="",J$5=""),"",COUNTIFS(Match!$E:$E,J$5,Match!$F:$F,$B8))</f>
        <v>1</v>
      </c>
      <c r="U8" s="37">
        <f>IF($B8="","",COUNTIFS(Match!$F:$F,$B8))</f>
        <v>11</v>
      </c>
    </row>
    <row r="9">
      <c r="B9" s="19" t="s">
        <v>65</v>
      </c>
      <c r="C9" s="21">
        <f>IF(OR($B9="",C$5=""),"",IFERROR(COUNTIFS(Match!$E:$E,C$5,Match!$F:$F,$B9,Match!$H:$H,"W")/COUNTIFS(Match!$E:$E,C$5,Match!$F:$F,$B9),""))</f>
        <v>1</v>
      </c>
      <c r="D9" s="21">
        <f>IF(OR($B9="",D$5=""),"",IFERROR(COUNTIFS(Match!$E:$E,D$5,Match!$F:$F,$B9,Match!$H:$H,"W")/COUNTIFS(Match!$E:$E,D$5,Match!$F:$F,$B9),""))</f>
        <v>1</v>
      </c>
      <c r="E9" s="21">
        <f>IF(OR($B9="",E$5=""),"",IFERROR(COUNTIFS(Match!$E:$E,E$5,Match!$F:$F,$B9,Match!$H:$H,"W")/COUNTIFS(Match!$E:$E,E$5,Match!$F:$F,$B9),""))</f>
        <v>1</v>
      </c>
      <c r="F9" s="21">
        <f>IF(OR($B9="",F$5=""),"",IFERROR(COUNTIFS(Match!$E:$E,F$5,Match!$F:$F,$B9,Match!$H:$H,"W")/COUNTIFS(Match!$E:$E,F$5,Match!$F:$F,$B9),""))</f>
        <v>1</v>
      </c>
      <c r="G9" s="21" t="str">
        <f>IF(OR($B9="",G$5=""),"",IFERROR(COUNTIFS(Match!$E:$E,G$5,Match!$F:$F,$B9,Match!$H:$H,"W")/COUNTIFS(Match!$E:$E,G$5,Match!$F:$F,$B9),""))</f>
        <v/>
      </c>
      <c r="H9" s="21">
        <f>IF(OR($B9="",H$5=""),"",IFERROR(COUNTIFS(Match!$E:$E,H$5,Match!$F:$F,$B9,Match!$H:$H,"W")/COUNTIFS(Match!$E:$E,H$5,Match!$F:$F,$B9),""))</f>
        <v>0</v>
      </c>
      <c r="I9" s="21">
        <f>IF(OR($B9="",I$5=""),"",IFERROR(COUNTIFS(Match!$E:$E,I$5,Match!$F:$F,$B9,Match!$H:$H,"W")/COUNTIFS(Match!$E:$E,I$5,Match!$F:$F,$B9),""))</f>
        <v>1</v>
      </c>
      <c r="J9" s="21" t="str">
        <f>IF(OR($B9="",J$5=""),"",IFERROR(COUNTIFS(Match!$E:$E,J$5,Match!$F:$F,$B9,Match!$H:$H,"W")/COUNTIFS(Match!$E:$E,J$5,Match!$F:$F,$B9),""))</f>
        <v/>
      </c>
      <c r="K9" s="28">
        <f>IF($B9="","",IFERROR(COUNTIFS(Match!$F:$F,$B9,Match!$H:$H,"W")/COUNTIFS(Match!$F:$F,$B9),""))</f>
        <v>0.8571428571</v>
      </c>
      <c r="L9" s="19" t="str">
        <f t="shared" si="2"/>
        <v>Grimmsnarl ex Froslass</v>
      </c>
      <c r="M9" s="29">
        <f>IF(OR($B9="",C$5=""),"",COUNTIFS(Match!$E:$E,C$5,Match!$F:$F,$B9))</f>
        <v>2</v>
      </c>
      <c r="N9" s="29">
        <f>IF(OR($B9="",D$5=""),"",COUNTIFS(Match!$E:$E,D$5,Match!$F:$F,$B9))</f>
        <v>1</v>
      </c>
      <c r="O9" s="29">
        <f>IF(OR($B9="",E$5=""),"",COUNTIFS(Match!$E:$E,E$5,Match!$F:$F,$B9))</f>
        <v>1</v>
      </c>
      <c r="P9" s="29">
        <f>IF(OR($B9="",F$5=""),"",COUNTIFS(Match!$E:$E,F$5,Match!$F:$F,$B9))</f>
        <v>1</v>
      </c>
      <c r="Q9" s="29">
        <f>IF(OR($B9="",G$5=""),"",COUNTIFS(Match!$E:$E,G$5,Match!$F:$F,$B9))</f>
        <v>0</v>
      </c>
      <c r="R9" s="29">
        <f>IF(OR($B9="",H$5=""),"",COUNTIFS(Match!$E:$E,H$5,Match!$F:$F,$B9))</f>
        <v>1</v>
      </c>
      <c r="S9" s="29">
        <f>IF(OR($B9="",I$5=""),"",COUNTIFS(Match!$E:$E,I$5,Match!$F:$F,$B9))</f>
        <v>1</v>
      </c>
      <c r="T9" s="29">
        <f>IF(OR($B9="",J$5=""),"",COUNTIFS(Match!$E:$E,J$5,Match!$F:$F,$B9))</f>
        <v>0</v>
      </c>
      <c r="U9" s="37">
        <f>IF($B9="","",COUNTIFS(Match!$F:$F,$B9))</f>
        <v>7</v>
      </c>
    </row>
    <row r="10">
      <c r="B10" s="19" t="s">
        <v>77</v>
      </c>
      <c r="C10" s="21">
        <f>IF(OR($B10="",C$5=""),"",IFERROR(COUNTIFS(Match!$E:$E,C$5,Match!$F:$F,$B10,Match!$H:$H,"W")/COUNTIFS(Match!$E:$E,C$5,Match!$F:$F,$B10),""))</f>
        <v>0.3333333333</v>
      </c>
      <c r="D10" s="21">
        <f>IF(OR($B10="",D$5=""),"",IFERROR(COUNTIFS(Match!$E:$E,D$5,Match!$F:$F,$B10,Match!$H:$H,"W")/COUNTIFS(Match!$E:$E,D$5,Match!$F:$F,$B10),""))</f>
        <v>1</v>
      </c>
      <c r="E10" s="21" t="str">
        <f>IF(OR($B10="",E$5=""),"",IFERROR(COUNTIFS(Match!$E:$E,E$5,Match!$F:$F,$B10,Match!$H:$H,"W")/COUNTIFS(Match!$E:$E,E$5,Match!$F:$F,$B10),""))</f>
        <v/>
      </c>
      <c r="F10" s="21" t="str">
        <f>IF(OR($B10="",F$5=""),"",IFERROR(COUNTIFS(Match!$E:$E,F$5,Match!$F:$F,$B10,Match!$H:$H,"W")/COUNTIFS(Match!$E:$E,F$5,Match!$F:$F,$B10),""))</f>
        <v/>
      </c>
      <c r="G10" s="21" t="str">
        <f>IF(OR($B10="",G$5=""),"",IFERROR(COUNTIFS(Match!$E:$E,G$5,Match!$F:$F,$B10,Match!$H:$H,"W")/COUNTIFS(Match!$E:$E,G$5,Match!$F:$F,$B10),""))</f>
        <v/>
      </c>
      <c r="H10" s="21">
        <f>IF(OR($B10="",H$5=""),"",IFERROR(COUNTIFS(Match!$E:$E,H$5,Match!$F:$F,$B10,Match!$H:$H,"W")/COUNTIFS(Match!$E:$E,H$5,Match!$F:$F,$B10),""))</f>
        <v>0.5</v>
      </c>
      <c r="I10" s="21" t="str">
        <f>IF(OR($B10="",I$5=""),"",IFERROR(COUNTIFS(Match!$E:$E,I$5,Match!$F:$F,$B10,Match!$H:$H,"W")/COUNTIFS(Match!$E:$E,I$5,Match!$F:$F,$B10),""))</f>
        <v/>
      </c>
      <c r="J10" s="21" t="str">
        <f>IF(OR($B10="",J$5=""),"",IFERROR(COUNTIFS(Match!$E:$E,J$5,Match!$F:$F,$B10,Match!$H:$H,"W")/COUNTIFS(Match!$E:$E,J$5,Match!$F:$F,$B10),""))</f>
        <v/>
      </c>
      <c r="K10" s="28">
        <f>IF($B10="","",IFERROR(COUNTIFS(Match!$F:$F,$B10,Match!$H:$H,"W")/COUNTIFS(Match!$F:$F,$B10),""))</f>
        <v>0.5</v>
      </c>
      <c r="L10" s="19" t="str">
        <f t="shared" si="2"/>
        <v>MegaLucario ex</v>
      </c>
      <c r="M10" s="29">
        <f>IF(OR($B10="",C$5=""),"",COUNTIFS(Match!$E:$E,C$5,Match!$F:$F,$B10))</f>
        <v>3</v>
      </c>
      <c r="N10" s="29">
        <f>IF(OR($B10="",D$5=""),"",COUNTIFS(Match!$E:$E,D$5,Match!$F:$F,$B10))</f>
        <v>1</v>
      </c>
      <c r="O10" s="29">
        <f>IF(OR($B10="",E$5=""),"",COUNTIFS(Match!$E:$E,E$5,Match!$F:$F,$B10))</f>
        <v>0</v>
      </c>
      <c r="P10" s="29">
        <f>IF(OR($B10="",F$5=""),"",COUNTIFS(Match!$E:$E,F$5,Match!$F:$F,$B10))</f>
        <v>0</v>
      </c>
      <c r="Q10" s="29">
        <f>IF(OR($B10="",G$5=""),"",COUNTIFS(Match!$E:$E,G$5,Match!$F:$F,$B10))</f>
        <v>0</v>
      </c>
      <c r="R10" s="29">
        <f>IF(OR($B10="",H$5=""),"",COUNTIFS(Match!$E:$E,H$5,Match!$F:$F,$B10))</f>
        <v>2</v>
      </c>
      <c r="S10" s="29">
        <f>IF(OR($B10="",I$5=""),"",COUNTIFS(Match!$E:$E,I$5,Match!$F:$F,$B10))</f>
        <v>0</v>
      </c>
      <c r="T10" s="29">
        <f>IF(OR($B10="",J$5=""),"",COUNTIFS(Match!$E:$E,J$5,Match!$F:$F,$B10))</f>
        <v>0</v>
      </c>
      <c r="U10" s="37">
        <f>IF($B10="","",COUNTIFS(Match!$F:$F,$B10))</f>
        <v>6</v>
      </c>
    </row>
    <row r="11">
      <c r="B11" s="19" t="s">
        <v>120</v>
      </c>
      <c r="C11" s="21">
        <f>IF(OR($B11="",C$5=""),"",IFERROR(COUNTIFS(Match!$E:$E,C$5,Match!$F:$F,$B11,Match!$H:$H,"W")/COUNTIFS(Match!$E:$E,C$5,Match!$F:$F,$B11),""))</f>
        <v>1</v>
      </c>
      <c r="D11" s="21">
        <f>IF(OR($B11="",D$5=""),"",IFERROR(COUNTIFS(Match!$E:$E,D$5,Match!$F:$F,$B11,Match!$H:$H,"W")/COUNTIFS(Match!$E:$E,D$5,Match!$F:$F,$B11),""))</f>
        <v>0</v>
      </c>
      <c r="E11" s="21" t="str">
        <f>IF(OR($B11="",E$5=""),"",IFERROR(COUNTIFS(Match!$E:$E,E$5,Match!$F:$F,$B11,Match!$H:$H,"W")/COUNTIFS(Match!$E:$E,E$5,Match!$F:$F,$B11),""))</f>
        <v/>
      </c>
      <c r="F11" s="21">
        <f>IF(OR($B11="",F$5=""),"",IFERROR(COUNTIFS(Match!$E:$E,F$5,Match!$F:$F,$B11,Match!$H:$H,"W")/COUNTIFS(Match!$E:$E,F$5,Match!$F:$F,$B11),""))</f>
        <v>1</v>
      </c>
      <c r="G11" s="21" t="str">
        <f>IF(OR($B11="",G$5=""),"",IFERROR(COUNTIFS(Match!$E:$E,G$5,Match!$F:$F,$B11,Match!$H:$H,"W")/COUNTIFS(Match!$E:$E,G$5,Match!$F:$F,$B11),""))</f>
        <v/>
      </c>
      <c r="H11" s="21">
        <f>IF(OR($B11="",H$5=""),"",IFERROR(COUNTIFS(Match!$E:$E,H$5,Match!$F:$F,$B11,Match!$H:$H,"W")/COUNTIFS(Match!$E:$E,H$5,Match!$F:$F,$B11),""))</f>
        <v>1</v>
      </c>
      <c r="I11" s="21">
        <f>IF(OR($B11="",I$5=""),"",IFERROR(COUNTIFS(Match!$E:$E,I$5,Match!$F:$F,$B11,Match!$H:$H,"W")/COUNTIFS(Match!$E:$E,I$5,Match!$F:$F,$B11),""))</f>
        <v>1</v>
      </c>
      <c r="J11" s="21" t="str">
        <f>IF(OR($B11="",J$5=""),"",IFERROR(COUNTIFS(Match!$E:$E,J$5,Match!$F:$F,$B11,Match!$H:$H,"W")/COUNTIFS(Match!$E:$E,J$5,Match!$F:$F,$B11),""))</f>
        <v/>
      </c>
      <c r="K11" s="28">
        <f>IF($B11="","",IFERROR(COUNTIFS(Match!$F:$F,$B11,Match!$H:$H,"W")/COUNTIFS(Match!$F:$F,$B11),""))</f>
        <v>0.8571428571</v>
      </c>
      <c r="L11" s="19" t="str">
        <f t="shared" si="2"/>
        <v>Dhelmise Banette</v>
      </c>
      <c r="M11" s="29">
        <f>IF(OR($B11="",C$5=""),"",COUNTIFS(Match!$E:$E,C$5,Match!$F:$F,$B11))</f>
        <v>1</v>
      </c>
      <c r="N11" s="29">
        <f>IF(OR($B11="",D$5=""),"",COUNTIFS(Match!$E:$E,D$5,Match!$F:$F,$B11))</f>
        <v>1</v>
      </c>
      <c r="O11" s="29">
        <f>IF(OR($B11="",E$5=""),"",COUNTIFS(Match!$E:$E,E$5,Match!$F:$F,$B11))</f>
        <v>0</v>
      </c>
      <c r="P11" s="29">
        <f>IF(OR($B11="",F$5=""),"",COUNTIFS(Match!$E:$E,F$5,Match!$F:$F,$B11))</f>
        <v>1</v>
      </c>
      <c r="Q11" s="29">
        <f>IF(OR($B11="",G$5=""),"",COUNTIFS(Match!$E:$E,G$5,Match!$F:$F,$B11))</f>
        <v>0</v>
      </c>
      <c r="R11" s="29">
        <f>IF(OR($B11="",H$5=""),"",COUNTIFS(Match!$E:$E,H$5,Match!$F:$F,$B11))</f>
        <v>2</v>
      </c>
      <c r="S11" s="29">
        <f>IF(OR($B11="",I$5=""),"",COUNTIFS(Match!$E:$E,I$5,Match!$F:$F,$B11))</f>
        <v>2</v>
      </c>
      <c r="T11" s="29">
        <f>IF(OR($B11="",J$5=""),"",COUNTIFS(Match!$E:$E,J$5,Match!$F:$F,$B11))</f>
        <v>0</v>
      </c>
      <c r="U11" s="37">
        <f>IF($B11="","",COUNTIFS(Match!$F:$F,$B11))</f>
        <v>7</v>
      </c>
    </row>
    <row r="12">
      <c r="B12" s="19" t="s">
        <v>106</v>
      </c>
      <c r="C12" s="21">
        <f>IF(OR($B12="",C$5=""),"",IFERROR(COUNTIFS(Match!$E:$E,C$5,Match!$F:$F,$B12,Match!$H:$H,"W")/COUNTIFS(Match!$E:$E,C$5,Match!$F:$F,$B12),""))</f>
        <v>1</v>
      </c>
      <c r="D12" s="21">
        <f>IF(OR($B12="",D$5=""),"",IFERROR(COUNTIFS(Match!$E:$E,D$5,Match!$F:$F,$B12,Match!$H:$H,"W")/COUNTIFS(Match!$E:$E,D$5,Match!$F:$F,$B12),""))</f>
        <v>0.5</v>
      </c>
      <c r="E12" s="21" t="str">
        <f>IF(OR($B12="",E$5=""),"",IFERROR(COUNTIFS(Match!$E:$E,E$5,Match!$F:$F,$B12,Match!$H:$H,"W")/COUNTIFS(Match!$E:$E,E$5,Match!$F:$F,$B12),""))</f>
        <v/>
      </c>
      <c r="F12" s="21" t="str">
        <f>IF(OR($B12="",F$5=""),"",IFERROR(COUNTIFS(Match!$E:$E,F$5,Match!$F:$F,$B12,Match!$H:$H,"W")/COUNTIFS(Match!$E:$E,F$5,Match!$F:$F,$B12),""))</f>
        <v/>
      </c>
      <c r="G12" s="21" t="str">
        <f>IF(OR($B12="",G$5=""),"",IFERROR(COUNTIFS(Match!$E:$E,G$5,Match!$F:$F,$B12,Match!$H:$H,"W")/COUNTIFS(Match!$E:$E,G$5,Match!$F:$F,$B12),""))</f>
        <v/>
      </c>
      <c r="H12" s="21">
        <f>IF(OR($B12="",H$5=""),"",IFERROR(COUNTIFS(Match!$E:$E,H$5,Match!$F:$F,$B12,Match!$H:$H,"W")/COUNTIFS(Match!$E:$E,H$5,Match!$F:$F,$B12),""))</f>
        <v>0.5</v>
      </c>
      <c r="I12" s="21" t="str">
        <f>IF(OR($B12="",I$5=""),"",IFERROR(COUNTIFS(Match!$E:$E,I$5,Match!$F:$F,$B12,Match!$H:$H,"W")/COUNTIFS(Match!$E:$E,I$5,Match!$F:$F,$B12),""))</f>
        <v/>
      </c>
      <c r="J12" s="21" t="str">
        <f>IF(OR($B12="",J$5=""),"",IFERROR(COUNTIFS(Match!$E:$E,J$5,Match!$F:$F,$B12,Match!$H:$H,"W")/COUNTIFS(Match!$E:$E,J$5,Match!$F:$F,$B12),""))</f>
        <v/>
      </c>
      <c r="K12" s="28">
        <f>IF($B12="","",IFERROR(COUNTIFS(Match!$F:$F,$B12,Match!$H:$H,"W")/COUNTIFS(Match!$F:$F,$B12),""))</f>
        <v>0.6</v>
      </c>
      <c r="L12" s="19" t="str">
        <f t="shared" si="2"/>
        <v>Area Della Festa</v>
      </c>
      <c r="M12" s="29">
        <f>IF(OR($B12="",C$5=""),"",COUNTIFS(Match!$E:$E,C$5,Match!$F:$F,$B12))</f>
        <v>1</v>
      </c>
      <c r="N12" s="29">
        <f>IF(OR($B12="",D$5=""),"",COUNTIFS(Match!$E:$E,D$5,Match!$F:$F,$B12))</f>
        <v>2</v>
      </c>
      <c r="O12" s="29">
        <f>IF(OR($B12="",E$5=""),"",COUNTIFS(Match!$E:$E,E$5,Match!$F:$F,$B12))</f>
        <v>0</v>
      </c>
      <c r="P12" s="29">
        <f>IF(OR($B12="",F$5=""),"",COUNTIFS(Match!$E:$E,F$5,Match!$F:$F,$B12))</f>
        <v>0</v>
      </c>
      <c r="Q12" s="29">
        <f>IF(OR($B12="",G$5=""),"",COUNTIFS(Match!$E:$E,G$5,Match!$F:$F,$B12))</f>
        <v>0</v>
      </c>
      <c r="R12" s="29">
        <f>IF(OR($B12="",H$5=""),"",COUNTIFS(Match!$E:$E,H$5,Match!$F:$F,$B12))</f>
        <v>2</v>
      </c>
      <c r="S12" s="29">
        <f>IF(OR($B12="",I$5=""),"",COUNTIFS(Match!$E:$E,I$5,Match!$F:$F,$B12))</f>
        <v>0</v>
      </c>
      <c r="T12" s="29">
        <f>IF(OR($B12="",J$5=""),"",COUNTIFS(Match!$E:$E,J$5,Match!$F:$F,$B12))</f>
        <v>0</v>
      </c>
      <c r="U12" s="37">
        <f>IF($B12="","",COUNTIFS(Match!$F:$F,$B12))</f>
        <v>5</v>
      </c>
    </row>
    <row r="13">
      <c r="B13" s="19" t="s">
        <v>124</v>
      </c>
      <c r="C13" s="21" t="str">
        <f>IF(OR($B13="",C$5=""),"",IFERROR(COUNTIFS(Match!$E:$E,C$5,Match!$F:$F,$B13,Match!$H:$H,"W")/COUNTIFS(Match!$E:$E,C$5,Match!$F:$F,$B13),""))</f>
        <v/>
      </c>
      <c r="D13" s="21">
        <f>IF(OR($B13="",D$5=""),"",IFERROR(COUNTIFS(Match!$E:$E,D$5,Match!$F:$F,$B13,Match!$H:$H,"W")/COUNTIFS(Match!$E:$E,D$5,Match!$F:$F,$B13),""))</f>
        <v>0</v>
      </c>
      <c r="E13" s="21" t="str">
        <f>IF(OR($B13="",E$5=""),"",IFERROR(COUNTIFS(Match!$E:$E,E$5,Match!$F:$F,$B13,Match!$H:$H,"W")/COUNTIFS(Match!$E:$E,E$5,Match!$F:$F,$B13),""))</f>
        <v/>
      </c>
      <c r="F13" s="21">
        <f>IF(OR($B13="",F$5=""),"",IFERROR(COUNTIFS(Match!$E:$E,F$5,Match!$F:$F,$B13,Match!$H:$H,"W")/COUNTIFS(Match!$E:$E,F$5,Match!$F:$F,$B13),""))</f>
        <v>0.6666666667</v>
      </c>
      <c r="G13" s="21" t="str">
        <f>IF(OR($B13="",G$5=""),"",IFERROR(COUNTIFS(Match!$E:$E,G$5,Match!$F:$F,$B13,Match!$H:$H,"W")/COUNTIFS(Match!$E:$E,G$5,Match!$F:$F,$B13),""))</f>
        <v/>
      </c>
      <c r="H13" s="21" t="str">
        <f>IF(OR($B13="",H$5=""),"",IFERROR(COUNTIFS(Match!$E:$E,H$5,Match!$F:$F,$B13,Match!$H:$H,"W")/COUNTIFS(Match!$E:$E,H$5,Match!$F:$F,$B13),""))</f>
        <v/>
      </c>
      <c r="I13" s="21">
        <f>IF(OR($B13="",I$5=""),"",IFERROR(COUNTIFS(Match!$E:$E,I$5,Match!$F:$F,$B13,Match!$H:$H,"W")/COUNTIFS(Match!$E:$E,I$5,Match!$F:$F,$B13),""))</f>
        <v>0</v>
      </c>
      <c r="J13" s="21">
        <f>IF(OR($B13="",J$5=""),"",IFERROR(COUNTIFS(Match!$E:$E,J$5,Match!$F:$F,$B13,Match!$H:$H,"W")/COUNTIFS(Match!$E:$E,J$5,Match!$F:$F,$B13),""))</f>
        <v>1</v>
      </c>
      <c r="K13" s="28">
        <f>IF($B13="","",IFERROR(COUNTIFS(Match!$F:$F,$B13,Match!$H:$H,"W")/COUNTIFS(Match!$F:$F,$B13),""))</f>
        <v>0.5</v>
      </c>
      <c r="L13" s="19" t="str">
        <f t="shared" si="2"/>
        <v>Garchomp ex</v>
      </c>
      <c r="M13" s="29">
        <f>IF(OR($B13="",C$5=""),"",COUNTIFS(Match!$E:$E,C$5,Match!$F:$F,$B13))</f>
        <v>0</v>
      </c>
      <c r="N13" s="29">
        <f>IF(OR($B13="",D$5=""),"",COUNTIFS(Match!$E:$E,D$5,Match!$F:$F,$B13))</f>
        <v>1</v>
      </c>
      <c r="O13" s="29">
        <f>IF(OR($B13="",E$5=""),"",COUNTIFS(Match!$E:$E,E$5,Match!$F:$F,$B13))</f>
        <v>0</v>
      </c>
      <c r="P13" s="29">
        <f>IF(OR($B13="",F$5=""),"",COUNTIFS(Match!$E:$E,F$5,Match!$F:$F,$B13))</f>
        <v>3</v>
      </c>
      <c r="Q13" s="29">
        <f>IF(OR($B13="",G$5=""),"",COUNTIFS(Match!$E:$E,G$5,Match!$F:$F,$B13))</f>
        <v>0</v>
      </c>
      <c r="R13" s="29">
        <f>IF(OR($B13="",H$5=""),"",COUNTIFS(Match!$E:$E,H$5,Match!$F:$F,$B13))</f>
        <v>0</v>
      </c>
      <c r="S13" s="29">
        <f>IF(OR($B13="",I$5=""),"",COUNTIFS(Match!$E:$E,I$5,Match!$F:$F,$B13))</f>
        <v>1</v>
      </c>
      <c r="T13" s="29">
        <f>IF(OR($B13="",J$5=""),"",COUNTIFS(Match!$E:$E,J$5,Match!$F:$F,$B13))</f>
        <v>1</v>
      </c>
      <c r="U13" s="37">
        <f>IF($B13="","",COUNTIFS(Match!$F:$F,$B13))</f>
        <v>6</v>
      </c>
    </row>
    <row r="14">
      <c r="B14" s="19" t="s">
        <v>80</v>
      </c>
      <c r="C14" s="21">
        <f>IF(OR($B14="",C$5=""),"",IFERROR(COUNTIFS(Match!$E:$E,C$5,Match!$F:$F,$B14,Match!$H:$H,"W")/COUNTIFS(Match!$E:$E,C$5,Match!$F:$F,$B14),""))</f>
        <v>1</v>
      </c>
      <c r="D14" s="21">
        <f>IF(OR($B14="",D$5=""),"",IFERROR(COUNTIFS(Match!$E:$E,D$5,Match!$F:$F,$B14,Match!$H:$H,"W")/COUNTIFS(Match!$E:$E,D$5,Match!$F:$F,$B14),""))</f>
        <v>0</v>
      </c>
      <c r="E14" s="21" t="str">
        <f>IF(OR($B14="",E$5=""),"",IFERROR(COUNTIFS(Match!$E:$E,E$5,Match!$F:$F,$B14,Match!$H:$H,"W")/COUNTIFS(Match!$E:$E,E$5,Match!$F:$F,$B14),""))</f>
        <v/>
      </c>
      <c r="F14" s="21" t="str">
        <f>IF(OR($B14="",F$5=""),"",IFERROR(COUNTIFS(Match!$E:$E,F$5,Match!$F:$F,$B14,Match!$H:$H,"W")/COUNTIFS(Match!$E:$E,F$5,Match!$F:$F,$B14),""))</f>
        <v/>
      </c>
      <c r="G14" s="21" t="str">
        <f>IF(OR($B14="",G$5=""),"",IFERROR(COUNTIFS(Match!$E:$E,G$5,Match!$F:$F,$B14,Match!$H:$H,"W")/COUNTIFS(Match!$E:$E,G$5,Match!$F:$F,$B14),""))</f>
        <v/>
      </c>
      <c r="H14" s="21" t="str">
        <f>IF(OR($B14="",H$5=""),"",IFERROR(COUNTIFS(Match!$E:$E,H$5,Match!$F:$F,$B14,Match!$H:$H,"W")/COUNTIFS(Match!$E:$E,H$5,Match!$F:$F,$B14),""))</f>
        <v/>
      </c>
      <c r="I14" s="21">
        <f>IF(OR($B14="",I$5=""),"",IFERROR(COUNTIFS(Match!$E:$E,I$5,Match!$F:$F,$B14,Match!$H:$H,"W")/COUNTIFS(Match!$E:$E,I$5,Match!$F:$F,$B14),""))</f>
        <v>0</v>
      </c>
      <c r="J14" s="21" t="str">
        <f>IF(OR($B14="",J$5=""),"",IFERROR(COUNTIFS(Match!$E:$E,J$5,Match!$F:$F,$B14,Match!$H:$H,"W")/COUNTIFS(Match!$E:$E,J$5,Match!$F:$F,$B14),""))</f>
        <v/>
      </c>
      <c r="K14" s="28">
        <f>IF($B14="","",IFERROR(COUNTIFS(Match!$F:$F,$B14,Match!$H:$H,"W")/COUNTIFS(Match!$F:$F,$B14),""))</f>
        <v>0.5</v>
      </c>
      <c r="L14" s="19" t="str">
        <f t="shared" si="2"/>
        <v>Zoroark ex</v>
      </c>
      <c r="M14" s="29">
        <f>IF(OR($B14="",C$5=""),"",COUNTIFS(Match!$E:$E,C$5,Match!$F:$F,$B14))</f>
        <v>2</v>
      </c>
      <c r="N14" s="29">
        <f>IF(OR($B14="",D$5=""),"",COUNTIFS(Match!$E:$E,D$5,Match!$F:$F,$B14))</f>
        <v>1</v>
      </c>
      <c r="O14" s="29">
        <f>IF(OR($B14="",E$5=""),"",COUNTIFS(Match!$E:$E,E$5,Match!$F:$F,$B14))</f>
        <v>0</v>
      </c>
      <c r="P14" s="29">
        <f>IF(OR($B14="",F$5=""),"",COUNTIFS(Match!$E:$E,F$5,Match!$F:$F,$B14))</f>
        <v>0</v>
      </c>
      <c r="Q14" s="29">
        <f>IF(OR($B14="",G$5=""),"",COUNTIFS(Match!$E:$E,G$5,Match!$F:$F,$B14))</f>
        <v>0</v>
      </c>
      <c r="R14" s="29">
        <f>IF(OR($B14="",H$5=""),"",COUNTIFS(Match!$E:$E,H$5,Match!$F:$F,$B14))</f>
        <v>0</v>
      </c>
      <c r="S14" s="29">
        <f>IF(OR($B14="",I$5=""),"",COUNTIFS(Match!$E:$E,I$5,Match!$F:$F,$B14))</f>
        <v>1</v>
      </c>
      <c r="T14" s="29">
        <f>IF(OR($B14="",J$5=""),"",COUNTIFS(Match!$E:$E,J$5,Match!$F:$F,$B14))</f>
        <v>0</v>
      </c>
      <c r="U14" s="37">
        <f>IF($B14="","",COUNTIFS(Match!$F:$F,$B14))</f>
        <v>4</v>
      </c>
    </row>
    <row r="15">
      <c r="B15" s="19" t="s">
        <v>91</v>
      </c>
      <c r="C15" s="21">
        <f>IF(OR($B15="",C$5=""),"",IFERROR(COUNTIFS(Match!$E:$E,C$5,Match!$F:$F,$B15,Match!$H:$H,"W")/COUNTIFS(Match!$E:$E,C$5,Match!$F:$F,$B15),""))</f>
        <v>0</v>
      </c>
      <c r="D15" s="21" t="str">
        <f>IF(OR($B15="",D$5=""),"",IFERROR(COUNTIFS(Match!$E:$E,D$5,Match!$F:$F,$B15,Match!$H:$H,"W")/COUNTIFS(Match!$E:$E,D$5,Match!$F:$F,$B15),""))</f>
        <v/>
      </c>
      <c r="E15" s="21" t="str">
        <f>IF(OR($B15="",E$5=""),"",IFERROR(COUNTIFS(Match!$E:$E,E$5,Match!$F:$F,$B15,Match!$H:$H,"W")/COUNTIFS(Match!$E:$E,E$5,Match!$F:$F,$B15),""))</f>
        <v/>
      </c>
      <c r="F15" s="21" t="str">
        <f>IF(OR($B15="",F$5=""),"",IFERROR(COUNTIFS(Match!$E:$E,F$5,Match!$F:$F,$B15,Match!$H:$H,"W")/COUNTIFS(Match!$E:$E,F$5,Match!$F:$F,$B15),""))</f>
        <v/>
      </c>
      <c r="G15" s="21" t="str">
        <f>IF(OR($B15="",G$5=""),"",IFERROR(COUNTIFS(Match!$E:$E,G$5,Match!$F:$F,$B15,Match!$H:$H,"W")/COUNTIFS(Match!$E:$E,G$5,Match!$F:$F,$B15),""))</f>
        <v/>
      </c>
      <c r="H15" s="21">
        <f>IF(OR($B15="",H$5=""),"",IFERROR(COUNTIFS(Match!$E:$E,H$5,Match!$F:$F,$B15,Match!$H:$H,"W")/COUNTIFS(Match!$E:$E,H$5,Match!$F:$F,$B15),""))</f>
        <v>1</v>
      </c>
      <c r="I15" s="21">
        <f>IF(OR($B15="",I$5=""),"",IFERROR(COUNTIFS(Match!$E:$E,I$5,Match!$F:$F,$B15,Match!$H:$H,"W")/COUNTIFS(Match!$E:$E,I$5,Match!$F:$F,$B15),""))</f>
        <v>1</v>
      </c>
      <c r="J15" s="21">
        <f>IF(OR($B15="",J$5=""),"",IFERROR(COUNTIFS(Match!$E:$E,J$5,Match!$F:$F,$B15,Match!$H:$H,"W")/COUNTIFS(Match!$E:$E,J$5,Match!$F:$F,$B15),""))</f>
        <v>0</v>
      </c>
      <c r="K15" s="28">
        <f>IF($B15="","",IFERROR(COUNTIFS(Match!$F:$F,$B15,Match!$H:$H,"W")/COUNTIFS(Match!$F:$F,$B15),""))</f>
        <v>0.6</v>
      </c>
      <c r="L15" s="19" t="str">
        <f t="shared" si="2"/>
        <v>Slowking</v>
      </c>
      <c r="M15" s="29">
        <f>IF(OR($B15="",C$5=""),"",COUNTIFS(Match!$E:$E,C$5,Match!$F:$F,$B15))</f>
        <v>1</v>
      </c>
      <c r="N15" s="29">
        <f>IF(OR($B15="",D$5=""),"",COUNTIFS(Match!$E:$E,D$5,Match!$F:$F,$B15))</f>
        <v>0</v>
      </c>
      <c r="O15" s="29">
        <f>IF(OR($B15="",E$5=""),"",COUNTIFS(Match!$E:$E,E$5,Match!$F:$F,$B15))</f>
        <v>0</v>
      </c>
      <c r="P15" s="29">
        <f>IF(OR($B15="",F$5=""),"",COUNTIFS(Match!$E:$E,F$5,Match!$F:$F,$B15))</f>
        <v>0</v>
      </c>
      <c r="Q15" s="29">
        <f>IF(OR($B15="",G$5=""),"",COUNTIFS(Match!$E:$E,G$5,Match!$F:$F,$B15))</f>
        <v>0</v>
      </c>
      <c r="R15" s="29">
        <f>IF(OR($B15="",H$5=""),"",COUNTIFS(Match!$E:$E,H$5,Match!$F:$F,$B15))</f>
        <v>1</v>
      </c>
      <c r="S15" s="29">
        <f>IF(OR($B15="",I$5=""),"",COUNTIFS(Match!$E:$E,I$5,Match!$F:$F,$B15))</f>
        <v>2</v>
      </c>
      <c r="T15" s="29">
        <f>IF(OR($B15="",J$5=""),"",COUNTIFS(Match!$E:$E,J$5,Match!$F:$F,$B15))</f>
        <v>1</v>
      </c>
      <c r="U15" s="37">
        <f>IF($B15="","",COUNTIFS(Match!$F:$F,$B15))</f>
        <v>5</v>
      </c>
    </row>
    <row r="16">
      <c r="B16" s="19" t="s">
        <v>118</v>
      </c>
      <c r="C16" s="21" t="str">
        <f>IF(OR($B16="",C$5=""),"",IFERROR(COUNTIFS(Match!$E:$E,C$5,Match!$F:$F,$B16,Match!$H:$H,"W")/COUNTIFS(Match!$E:$E,C$5,Match!$F:$F,$B16),""))</f>
        <v/>
      </c>
      <c r="D16" s="21">
        <f>IF(OR($B16="",D$5=""),"",IFERROR(COUNTIFS(Match!$E:$E,D$5,Match!$F:$F,$B16,Match!$H:$H,"W")/COUNTIFS(Match!$E:$E,D$5,Match!$F:$F,$B16),""))</f>
        <v>1</v>
      </c>
      <c r="E16" s="21" t="str">
        <f>IF(OR($B16="",E$5=""),"",IFERROR(COUNTIFS(Match!$E:$E,E$5,Match!$F:$F,$B16,Match!$H:$H,"W")/COUNTIFS(Match!$E:$E,E$5,Match!$F:$F,$B16),""))</f>
        <v/>
      </c>
      <c r="F16" s="21" t="str">
        <f>IF(OR($B16="",F$5=""),"",IFERROR(COUNTIFS(Match!$E:$E,F$5,Match!$F:$F,$B16,Match!$H:$H,"W")/COUNTIFS(Match!$E:$E,F$5,Match!$F:$F,$B16),""))</f>
        <v/>
      </c>
      <c r="G16" s="21" t="str">
        <f>IF(OR($B16="",G$5=""),"",IFERROR(COUNTIFS(Match!$E:$E,G$5,Match!$F:$F,$B16,Match!$H:$H,"W")/COUNTIFS(Match!$E:$E,G$5,Match!$F:$F,$B16),""))</f>
        <v/>
      </c>
      <c r="H16" s="21" t="str">
        <f>IF(OR($B16="",H$5=""),"",IFERROR(COUNTIFS(Match!$E:$E,H$5,Match!$F:$F,$B16,Match!$H:$H,"W")/COUNTIFS(Match!$E:$E,H$5,Match!$F:$F,$B16),""))</f>
        <v/>
      </c>
      <c r="I16" s="21" t="str">
        <f>IF(OR($B16="",I$5=""),"",IFERROR(COUNTIFS(Match!$E:$E,I$5,Match!$F:$F,$B16,Match!$H:$H,"W")/COUNTIFS(Match!$E:$E,I$5,Match!$F:$F,$B16),""))</f>
        <v/>
      </c>
      <c r="J16" s="21" t="str">
        <f>IF(OR($B16="",J$5=""),"",IFERROR(COUNTIFS(Match!$E:$E,J$5,Match!$F:$F,$B16,Match!$H:$H,"W")/COUNTIFS(Match!$E:$E,J$5,Match!$F:$F,$B16),""))</f>
        <v/>
      </c>
      <c r="K16" s="28">
        <f>IF($B16="","",IFERROR(COUNTIFS(Match!$F:$F,$B16,Match!$H:$H,"W")/COUNTIFS(Match!$F:$F,$B16),""))</f>
        <v>1</v>
      </c>
      <c r="L16" s="19" t="str">
        <f t="shared" si="2"/>
        <v>Honchkrow Porygon2</v>
      </c>
      <c r="M16" s="29">
        <f>IF(OR($B16="",C$5=""),"",COUNTIFS(Match!$E:$E,C$5,Match!$F:$F,$B16))</f>
        <v>0</v>
      </c>
      <c r="N16" s="29">
        <f>IF(OR($B16="",D$5=""),"",COUNTIFS(Match!$E:$E,D$5,Match!$F:$F,$B16))</f>
        <v>3</v>
      </c>
      <c r="O16" s="29">
        <f>IF(OR($B16="",E$5=""),"",COUNTIFS(Match!$E:$E,E$5,Match!$F:$F,$B16))</f>
        <v>0</v>
      </c>
      <c r="P16" s="29">
        <f>IF(OR($B16="",F$5=""),"",COUNTIFS(Match!$E:$E,F$5,Match!$F:$F,$B16))</f>
        <v>0</v>
      </c>
      <c r="Q16" s="29">
        <f>IF(OR($B16="",G$5=""),"",COUNTIFS(Match!$E:$E,G$5,Match!$F:$F,$B16))</f>
        <v>0</v>
      </c>
      <c r="R16" s="29">
        <f>IF(OR($B16="",H$5=""),"",COUNTIFS(Match!$E:$E,H$5,Match!$F:$F,$B16))</f>
        <v>0</v>
      </c>
      <c r="S16" s="29">
        <f>IF(OR($B16="",I$5=""),"",COUNTIFS(Match!$E:$E,I$5,Match!$F:$F,$B16))</f>
        <v>0</v>
      </c>
      <c r="T16" s="29">
        <f>IF(OR($B16="",J$5=""),"",COUNTIFS(Match!$E:$E,J$5,Match!$F:$F,$B16))</f>
        <v>0</v>
      </c>
      <c r="U16" s="37">
        <f>IF($B16="","",COUNTIFS(Match!$F:$F,$B16))</f>
        <v>3</v>
      </c>
    </row>
    <row r="17">
      <c r="B17" s="19" t="s">
        <v>140</v>
      </c>
      <c r="C17" s="21" t="str">
        <f>IF(OR($B17="",C$5=""),"",IFERROR(COUNTIFS(Match!$E:$E,C$5,Match!$F:$F,$B17,Match!$H:$H,"W")/COUNTIFS(Match!$E:$E,C$5,Match!$F:$F,$B17),""))</f>
        <v/>
      </c>
      <c r="D17" s="21">
        <f>IF(OR($B17="",D$5=""),"",IFERROR(COUNTIFS(Match!$E:$E,D$5,Match!$F:$F,$B17,Match!$H:$H,"W")/COUNTIFS(Match!$E:$E,D$5,Match!$F:$F,$B17),""))</f>
        <v>1</v>
      </c>
      <c r="E17" s="21" t="str">
        <f>IF(OR($B17="",E$5=""),"",IFERROR(COUNTIFS(Match!$E:$E,E$5,Match!$F:$F,$B17,Match!$H:$H,"W")/COUNTIFS(Match!$E:$E,E$5,Match!$F:$F,$B17),""))</f>
        <v/>
      </c>
      <c r="F17" s="21" t="str">
        <f>IF(OR($B17="",F$5=""),"",IFERROR(COUNTIFS(Match!$E:$E,F$5,Match!$F:$F,$B17,Match!$H:$H,"W")/COUNTIFS(Match!$E:$E,F$5,Match!$F:$F,$B17),""))</f>
        <v/>
      </c>
      <c r="G17" s="21" t="str">
        <f>IF(OR($B17="",G$5=""),"",IFERROR(COUNTIFS(Match!$E:$E,G$5,Match!$F:$F,$B17,Match!$H:$H,"W")/COUNTIFS(Match!$E:$E,G$5,Match!$F:$F,$B17),""))</f>
        <v/>
      </c>
      <c r="H17" s="21">
        <f>IF(OR($B17="",H$5=""),"",IFERROR(COUNTIFS(Match!$E:$E,H$5,Match!$F:$F,$B17,Match!$H:$H,"W")/COUNTIFS(Match!$E:$E,H$5,Match!$F:$F,$B17),""))</f>
        <v>1</v>
      </c>
      <c r="I17" s="21" t="str">
        <f>IF(OR($B17="",I$5=""),"",IFERROR(COUNTIFS(Match!$E:$E,I$5,Match!$F:$F,$B17,Match!$H:$H,"W")/COUNTIFS(Match!$E:$E,I$5,Match!$F:$F,$B17),""))</f>
        <v/>
      </c>
      <c r="J17" s="21">
        <f>IF(OR($B17="",J$5=""),"",IFERROR(COUNTIFS(Match!$E:$E,J$5,Match!$F:$F,$B17,Match!$H:$H,"W")/COUNTIFS(Match!$E:$E,J$5,Match!$F:$F,$B17),""))</f>
        <v>0.5</v>
      </c>
      <c r="K17" s="28">
        <f>IF($B17="","",IFERROR(COUNTIFS(Match!$F:$F,$B17,Match!$H:$H,"W")/COUNTIFS(Match!$F:$F,$B17),""))</f>
        <v>0.8</v>
      </c>
      <c r="L17" s="19" t="str">
        <f t="shared" si="2"/>
        <v>Dragapult ex Blaziken ex</v>
      </c>
      <c r="M17" s="29">
        <f>IF(OR($B17="",C$5=""),"",COUNTIFS(Match!$E:$E,C$5,Match!$F:$F,$B17))</f>
        <v>0</v>
      </c>
      <c r="N17" s="29">
        <f>IF(OR($B17="",D$5=""),"",COUNTIFS(Match!$E:$E,D$5,Match!$F:$F,$B17))</f>
        <v>1</v>
      </c>
      <c r="O17" s="29">
        <f>IF(OR($B17="",E$5=""),"",COUNTIFS(Match!$E:$E,E$5,Match!$F:$F,$B17))</f>
        <v>0</v>
      </c>
      <c r="P17" s="29">
        <f>IF(OR($B17="",F$5=""),"",COUNTIFS(Match!$E:$E,F$5,Match!$F:$F,$B17))</f>
        <v>0</v>
      </c>
      <c r="Q17" s="29">
        <f>IF(OR($B17="",G$5=""),"",COUNTIFS(Match!$E:$E,G$5,Match!$F:$F,$B17))</f>
        <v>0</v>
      </c>
      <c r="R17" s="29">
        <f>IF(OR($B17="",H$5=""),"",COUNTIFS(Match!$E:$E,H$5,Match!$F:$F,$B17))</f>
        <v>2</v>
      </c>
      <c r="S17" s="29">
        <f>IF(OR($B17="",I$5=""),"",COUNTIFS(Match!$E:$E,I$5,Match!$F:$F,$B17))</f>
        <v>0</v>
      </c>
      <c r="T17" s="29">
        <f>IF(OR($B17="",J$5=""),"",COUNTIFS(Match!$E:$E,J$5,Match!$F:$F,$B17))</f>
        <v>2</v>
      </c>
      <c r="U17" s="37">
        <f>IF($B17="","",COUNTIFS(Match!$F:$F,$B17))</f>
        <v>5</v>
      </c>
    </row>
    <row r="18">
      <c r="B18" s="19" t="s">
        <v>155</v>
      </c>
      <c r="C18" s="21" t="str">
        <f>IF(OR($B18="",C$5=""),"",IFERROR(COUNTIFS(Match!$E:$E,C$5,Match!$F:$F,$B18,Match!$H:$H,"W")/COUNTIFS(Match!$E:$E,C$5,Match!$F:$F,$B18),""))</f>
        <v/>
      </c>
      <c r="D18" s="21" t="str">
        <f>IF(OR($B18="",D$5=""),"",IFERROR(COUNTIFS(Match!$E:$E,D$5,Match!$F:$F,$B18,Match!$H:$H,"W")/COUNTIFS(Match!$E:$E,D$5,Match!$F:$F,$B18),""))</f>
        <v/>
      </c>
      <c r="E18" s="21" t="str">
        <f>IF(OR($B18="",E$5=""),"",IFERROR(COUNTIFS(Match!$E:$E,E$5,Match!$F:$F,$B18,Match!$H:$H,"W")/COUNTIFS(Match!$E:$E,E$5,Match!$F:$F,$B18),""))</f>
        <v/>
      </c>
      <c r="F18" s="21" t="str">
        <f>IF(OR($B18="",F$5=""),"",IFERROR(COUNTIFS(Match!$E:$E,F$5,Match!$F:$F,$B18,Match!$H:$H,"W")/COUNTIFS(Match!$E:$E,F$5,Match!$F:$F,$B18),""))</f>
        <v/>
      </c>
      <c r="G18" s="21" t="str">
        <f>IF(OR($B18="",G$5=""),"",IFERROR(COUNTIFS(Match!$E:$E,G$5,Match!$F:$F,$B18,Match!$H:$H,"W")/COUNTIFS(Match!$E:$E,G$5,Match!$F:$F,$B18),""))</f>
        <v/>
      </c>
      <c r="H18" s="21">
        <f>IF(OR($B18="",H$5=""),"",IFERROR(COUNTIFS(Match!$E:$E,H$5,Match!$F:$F,$B18,Match!$H:$H,"W")/COUNTIFS(Match!$E:$E,H$5,Match!$F:$F,$B18),""))</f>
        <v>0.3333333333</v>
      </c>
      <c r="I18" s="21" t="str">
        <f>IF(OR($B18="",I$5=""),"",IFERROR(COUNTIFS(Match!$E:$E,I$5,Match!$F:$F,$B18,Match!$H:$H,"W")/COUNTIFS(Match!$E:$E,I$5,Match!$F:$F,$B18),""))</f>
        <v/>
      </c>
      <c r="J18" s="21" t="str">
        <f>IF(OR($B18="",J$5=""),"",IFERROR(COUNTIFS(Match!$E:$E,J$5,Match!$F:$F,$B18,Match!$H:$H,"W")/COUNTIFS(Match!$E:$E,J$5,Match!$F:$F,$B18),""))</f>
        <v/>
      </c>
      <c r="K18" s="28">
        <f>IF($B18="","",IFERROR(COUNTIFS(Match!$F:$F,$B18,Match!$H:$H,"W")/COUNTIFS(Match!$F:$F,$B18),""))</f>
        <v>0.3333333333</v>
      </c>
      <c r="L18" s="19" t="str">
        <f t="shared" si="2"/>
        <v>Raging Bolt</v>
      </c>
      <c r="M18" s="29">
        <f>IF(OR($B18="",C$5=""),"",COUNTIFS(Match!$E:$E,C$5,Match!$F:$F,$B18))</f>
        <v>0</v>
      </c>
      <c r="N18" s="29">
        <f>IF(OR($B18="",D$5=""),"",COUNTIFS(Match!$E:$E,D$5,Match!$F:$F,$B18))</f>
        <v>0</v>
      </c>
      <c r="O18" s="29">
        <f>IF(OR($B18="",E$5=""),"",COUNTIFS(Match!$E:$E,E$5,Match!$F:$F,$B18))</f>
        <v>0</v>
      </c>
      <c r="P18" s="29">
        <f>IF(OR($B18="",F$5=""),"",COUNTIFS(Match!$E:$E,F$5,Match!$F:$F,$B18))</f>
        <v>0</v>
      </c>
      <c r="Q18" s="29">
        <f>IF(OR($B18="",G$5=""),"",COUNTIFS(Match!$E:$E,G$5,Match!$F:$F,$B18))</f>
        <v>0</v>
      </c>
      <c r="R18" s="29">
        <f>IF(OR($B18="",H$5=""),"",COUNTIFS(Match!$E:$E,H$5,Match!$F:$F,$B18))</f>
        <v>3</v>
      </c>
      <c r="S18" s="29">
        <f>IF(OR($B18="",I$5=""),"",COUNTIFS(Match!$E:$E,I$5,Match!$F:$F,$B18))</f>
        <v>0</v>
      </c>
      <c r="T18" s="29">
        <f>IF(OR($B18="",J$5=""),"",COUNTIFS(Match!$E:$E,J$5,Match!$F:$F,$B18))</f>
        <v>0</v>
      </c>
      <c r="U18" s="37">
        <f>IF($B18="","",COUNTIFS(Match!$F:$F,$B18))</f>
        <v>3</v>
      </c>
    </row>
    <row r="19">
      <c r="B19" s="19" t="s">
        <v>73</v>
      </c>
      <c r="C19" s="21">
        <f>IF(OR($B19="",C$5=""),"",IFERROR(COUNTIFS(Match!$E:$E,C$5,Match!$F:$F,$B19,Match!$H:$H,"W")/COUNTIFS(Match!$E:$E,C$5,Match!$F:$F,$B19),""))</f>
        <v>1</v>
      </c>
      <c r="D19" s="21" t="str">
        <f>IF(OR($B19="",D$5=""),"",IFERROR(COUNTIFS(Match!$E:$E,D$5,Match!$F:$F,$B19,Match!$H:$H,"W")/COUNTIFS(Match!$E:$E,D$5,Match!$F:$F,$B19),""))</f>
        <v/>
      </c>
      <c r="E19" s="21" t="str">
        <f>IF(OR($B19="",E$5=""),"",IFERROR(COUNTIFS(Match!$E:$E,E$5,Match!$F:$F,$B19,Match!$H:$H,"W")/COUNTIFS(Match!$E:$E,E$5,Match!$F:$F,$B19),""))</f>
        <v/>
      </c>
      <c r="F19" s="21" t="str">
        <f>IF(OR($B19="",F$5=""),"",IFERROR(COUNTIFS(Match!$E:$E,F$5,Match!$F:$F,$B19,Match!$H:$H,"W")/COUNTIFS(Match!$E:$E,F$5,Match!$F:$F,$B19),""))</f>
        <v/>
      </c>
      <c r="G19" s="21" t="str">
        <f>IF(OR($B19="",G$5=""),"",IFERROR(COUNTIFS(Match!$E:$E,G$5,Match!$F:$F,$B19,Match!$H:$H,"W")/COUNTIFS(Match!$E:$E,G$5,Match!$F:$F,$B19),""))</f>
        <v/>
      </c>
      <c r="H19" s="21" t="str">
        <f>IF(OR($B19="",H$5=""),"",IFERROR(COUNTIFS(Match!$E:$E,H$5,Match!$F:$F,$B19,Match!$H:$H,"W")/COUNTIFS(Match!$E:$E,H$5,Match!$F:$F,$B19),""))</f>
        <v/>
      </c>
      <c r="I19" s="21" t="str">
        <f>IF(OR($B19="",I$5=""),"",IFERROR(COUNTIFS(Match!$E:$E,I$5,Match!$F:$F,$B19,Match!$H:$H,"W")/COUNTIFS(Match!$E:$E,I$5,Match!$F:$F,$B19),""))</f>
        <v/>
      </c>
      <c r="J19" s="21" t="str">
        <f>IF(OR($B19="",J$5=""),"",IFERROR(COUNTIFS(Match!$E:$E,J$5,Match!$F:$F,$B19,Match!$H:$H,"W")/COUNTIFS(Match!$E:$E,J$5,Match!$F:$F,$B19),""))</f>
        <v/>
      </c>
      <c r="K19" s="28">
        <f>IF($B19="","",IFERROR(COUNTIFS(Match!$F:$F,$B19,Match!$H:$H,"W")/COUNTIFS(Match!$F:$F,$B19),""))</f>
        <v>1</v>
      </c>
      <c r="L19" s="19" t="str">
        <f t="shared" si="2"/>
        <v>MegaStarmie ex Dusknoir</v>
      </c>
      <c r="M19" s="29">
        <f>IF(OR($B19="",C$5=""),"",COUNTIFS(Match!$E:$E,C$5,Match!$F:$F,$B19))</f>
        <v>2</v>
      </c>
      <c r="N19" s="29">
        <f>IF(OR($B19="",D$5=""),"",COUNTIFS(Match!$E:$E,D$5,Match!$F:$F,$B19))</f>
        <v>0</v>
      </c>
      <c r="O19" s="29">
        <f>IF(OR($B19="",E$5=""),"",COUNTIFS(Match!$E:$E,E$5,Match!$F:$F,$B19))</f>
        <v>0</v>
      </c>
      <c r="P19" s="29">
        <f>IF(OR($B19="",F$5=""),"",COUNTIFS(Match!$E:$E,F$5,Match!$F:$F,$B19))</f>
        <v>0</v>
      </c>
      <c r="Q19" s="29">
        <f>IF(OR($B19="",G$5=""),"",COUNTIFS(Match!$E:$E,G$5,Match!$F:$F,$B19))</f>
        <v>0</v>
      </c>
      <c r="R19" s="29">
        <f>IF(OR($B19="",H$5=""),"",COUNTIFS(Match!$E:$E,H$5,Match!$F:$F,$B19))</f>
        <v>0</v>
      </c>
      <c r="S19" s="29">
        <f>IF(OR($B19="",I$5=""),"",COUNTIFS(Match!$E:$E,I$5,Match!$F:$F,$B19))</f>
        <v>0</v>
      </c>
      <c r="T19" s="29">
        <f>IF(OR($B19="",J$5=""),"",COUNTIFS(Match!$E:$E,J$5,Match!$F:$F,$B19))</f>
        <v>0</v>
      </c>
      <c r="U19" s="37">
        <f>IF($B19="","",COUNTIFS(Match!$F:$F,$B19))</f>
        <v>2</v>
      </c>
    </row>
    <row r="20">
      <c r="B20" s="19" t="s">
        <v>111</v>
      </c>
      <c r="C20" s="21">
        <f>IF(OR($B20="",C$5=""),"",IFERROR(COUNTIFS(Match!$E:$E,C$5,Match!$F:$F,$B20,Match!$H:$H,"W")/COUNTIFS(Match!$E:$E,C$5,Match!$F:$F,$B20),""))</f>
        <v>1</v>
      </c>
      <c r="D20" s="21" t="str">
        <f>IF(OR($B20="",D$5=""),"",IFERROR(COUNTIFS(Match!$E:$E,D$5,Match!$F:$F,$B20,Match!$H:$H,"W")/COUNTIFS(Match!$E:$E,D$5,Match!$F:$F,$B20),""))</f>
        <v/>
      </c>
      <c r="E20" s="21" t="str">
        <f>IF(OR($B20="",E$5=""),"",IFERROR(COUNTIFS(Match!$E:$E,E$5,Match!$F:$F,$B20,Match!$H:$H,"W")/COUNTIFS(Match!$E:$E,E$5,Match!$F:$F,$B20),""))</f>
        <v/>
      </c>
      <c r="F20" s="21" t="str">
        <f>IF(OR($B20="",F$5=""),"",IFERROR(COUNTIFS(Match!$E:$E,F$5,Match!$F:$F,$B20,Match!$H:$H,"W")/COUNTIFS(Match!$E:$E,F$5,Match!$F:$F,$B20),""))</f>
        <v/>
      </c>
      <c r="G20" s="21" t="str">
        <f>IF(OR($B20="",G$5=""),"",IFERROR(COUNTIFS(Match!$E:$E,G$5,Match!$F:$F,$B20,Match!$H:$H,"W")/COUNTIFS(Match!$E:$E,G$5,Match!$F:$F,$B20),""))</f>
        <v/>
      </c>
      <c r="H20" s="21">
        <f>IF(OR($B20="",H$5=""),"",IFERROR(COUNTIFS(Match!$E:$E,H$5,Match!$F:$F,$B20,Match!$H:$H,"W")/COUNTIFS(Match!$E:$E,H$5,Match!$F:$F,$B20),""))</f>
        <v>1</v>
      </c>
      <c r="I20" s="21" t="str">
        <f>IF(OR($B20="",I$5=""),"",IFERROR(COUNTIFS(Match!$E:$E,I$5,Match!$F:$F,$B20,Match!$H:$H,"W")/COUNTIFS(Match!$E:$E,I$5,Match!$F:$F,$B20),""))</f>
        <v/>
      </c>
      <c r="J20" s="21" t="str">
        <f>IF(OR($B20="",J$5=""),"",IFERROR(COUNTIFS(Match!$E:$E,J$5,Match!$F:$F,$B20,Match!$H:$H,"W")/COUNTIFS(Match!$E:$E,J$5,Match!$F:$F,$B20),""))</f>
        <v/>
      </c>
      <c r="K20" s="28">
        <f>IF($B20="","",IFERROR(COUNTIFS(Match!$F:$F,$B20,Match!$H:$H,"W")/COUNTIFS(Match!$F:$F,$B20),""))</f>
        <v>1</v>
      </c>
      <c r="L20" s="19" t="str">
        <f t="shared" si="2"/>
        <v>Toucannon Dusknoir</v>
      </c>
      <c r="M20" s="29">
        <f>IF(OR($B20="",C$5=""),"",COUNTIFS(Match!$E:$E,C$5,Match!$F:$F,$B20))</f>
        <v>1</v>
      </c>
      <c r="N20" s="29">
        <f>IF(OR($B20="",D$5=""),"",COUNTIFS(Match!$E:$E,D$5,Match!$F:$F,$B20))</f>
        <v>0</v>
      </c>
      <c r="O20" s="29">
        <f>IF(OR($B20="",E$5=""),"",COUNTIFS(Match!$E:$E,E$5,Match!$F:$F,$B20))</f>
        <v>0</v>
      </c>
      <c r="P20" s="29">
        <f>IF(OR($B20="",F$5=""),"",COUNTIFS(Match!$E:$E,F$5,Match!$F:$F,$B20))</f>
        <v>0</v>
      </c>
      <c r="Q20" s="29">
        <f>IF(OR($B20="",G$5=""),"",COUNTIFS(Match!$E:$E,G$5,Match!$F:$F,$B20))</f>
        <v>0</v>
      </c>
      <c r="R20" s="29">
        <f>IF(OR($B20="",H$5=""),"",COUNTIFS(Match!$E:$E,H$5,Match!$F:$F,$B20))</f>
        <v>1</v>
      </c>
      <c r="S20" s="29">
        <f>IF(OR($B20="",I$5=""),"",COUNTIFS(Match!$E:$E,I$5,Match!$F:$F,$B20))</f>
        <v>0</v>
      </c>
      <c r="T20" s="29">
        <f>IF(OR($B20="",J$5=""),"",COUNTIFS(Match!$E:$E,J$5,Match!$F:$F,$B20))</f>
        <v>0</v>
      </c>
      <c r="U20" s="37">
        <f>IF($B20="","",COUNTIFS(Match!$F:$F,$B20))</f>
        <v>2</v>
      </c>
    </row>
    <row r="21" ht="15.75" customHeight="1">
      <c r="B21" s="19" t="s">
        <v>126</v>
      </c>
      <c r="C21" s="21" t="str">
        <f>IF(OR($B21="",C$5=""),"",IFERROR(COUNTIFS(Match!$E:$E,C$5,Match!$F:$F,$B21,Match!$H:$H,"W")/COUNTIFS(Match!$E:$E,C$5,Match!$F:$F,$B21),""))</f>
        <v/>
      </c>
      <c r="D21" s="21">
        <f>IF(OR($B21="",D$5=""),"",IFERROR(COUNTIFS(Match!$E:$E,D$5,Match!$F:$F,$B21,Match!$H:$H,"W")/COUNTIFS(Match!$E:$E,D$5,Match!$F:$F,$B21),""))</f>
        <v>1</v>
      </c>
      <c r="E21" s="21" t="str">
        <f>IF(OR($B21="",E$5=""),"",IFERROR(COUNTIFS(Match!$E:$E,E$5,Match!$F:$F,$B21,Match!$H:$H,"W")/COUNTIFS(Match!$E:$E,E$5,Match!$F:$F,$B21),""))</f>
        <v/>
      </c>
      <c r="F21" s="21" t="str">
        <f>IF(OR($B21="",F$5=""),"",IFERROR(COUNTIFS(Match!$E:$E,F$5,Match!$F:$F,$B21,Match!$H:$H,"W")/COUNTIFS(Match!$E:$E,F$5,Match!$F:$F,$B21),""))</f>
        <v/>
      </c>
      <c r="G21" s="21" t="str">
        <f>IF(OR($B21="",G$5=""),"",IFERROR(COUNTIFS(Match!$E:$E,G$5,Match!$F:$F,$B21,Match!$H:$H,"W")/COUNTIFS(Match!$E:$E,G$5,Match!$F:$F,$B21),""))</f>
        <v/>
      </c>
      <c r="H21" s="21">
        <f>IF(OR($B21="",H$5=""),"",IFERROR(COUNTIFS(Match!$E:$E,H$5,Match!$F:$F,$B21,Match!$H:$H,"W")/COUNTIFS(Match!$E:$E,H$5,Match!$F:$F,$B21),""))</f>
        <v>0</v>
      </c>
      <c r="I21" s="21" t="str">
        <f>IF(OR($B21="",I$5=""),"",IFERROR(COUNTIFS(Match!$E:$E,I$5,Match!$F:$F,$B21,Match!$H:$H,"W")/COUNTIFS(Match!$E:$E,I$5,Match!$F:$F,$B21),""))</f>
        <v/>
      </c>
      <c r="J21" s="21" t="str">
        <f>IF(OR($B21="",J$5=""),"",IFERROR(COUNTIFS(Match!$E:$E,J$5,Match!$F:$F,$B21,Match!$H:$H,"W")/COUNTIFS(Match!$E:$E,J$5,Match!$F:$F,$B21),""))</f>
        <v/>
      </c>
      <c r="K21" s="28">
        <f>IF($B21="","",IFERROR(COUNTIFS(Match!$F:$F,$B21,Match!$H:$H,"W")/COUNTIFS(Match!$F:$F,$B21),""))</f>
        <v>0.5</v>
      </c>
      <c r="L21" s="19" t="str">
        <f t="shared" si="2"/>
        <v>Typhlosion</v>
      </c>
      <c r="M21" s="29">
        <f>IF(OR($B21="",C$5=""),"",COUNTIFS(Match!$E:$E,C$5,Match!$F:$F,$B21))</f>
        <v>0</v>
      </c>
      <c r="N21" s="29">
        <f>IF(OR($B21="",D$5=""),"",COUNTIFS(Match!$E:$E,D$5,Match!$F:$F,$B21))</f>
        <v>1</v>
      </c>
      <c r="O21" s="29">
        <f>IF(OR($B21="",E$5=""),"",COUNTIFS(Match!$E:$E,E$5,Match!$F:$F,$B21))</f>
        <v>0</v>
      </c>
      <c r="P21" s="29">
        <f>IF(OR($B21="",F$5=""),"",COUNTIFS(Match!$E:$E,F$5,Match!$F:$F,$B21))</f>
        <v>0</v>
      </c>
      <c r="Q21" s="29">
        <f>IF(OR($B21="",G$5=""),"",COUNTIFS(Match!$E:$E,G$5,Match!$F:$F,$B21))</f>
        <v>0</v>
      </c>
      <c r="R21" s="29">
        <f>IF(OR($B21="",H$5=""),"",COUNTIFS(Match!$E:$E,H$5,Match!$F:$F,$B21))</f>
        <v>1</v>
      </c>
      <c r="S21" s="29">
        <f>IF(OR($B21="",I$5=""),"",COUNTIFS(Match!$E:$E,I$5,Match!$F:$F,$B21))</f>
        <v>0</v>
      </c>
      <c r="T21" s="29">
        <f>IF(OR($B21="",J$5=""),"",COUNTIFS(Match!$E:$E,J$5,Match!$F:$F,$B21))</f>
        <v>0</v>
      </c>
      <c r="U21" s="37">
        <f>IF($B21="","",COUNTIFS(Match!$F:$F,$B21))</f>
        <v>2</v>
      </c>
    </row>
    <row r="22" ht="15.75" customHeight="1">
      <c r="B22" s="19" t="s">
        <v>135</v>
      </c>
      <c r="C22" s="21">
        <f>IF(OR($B22="",C$5=""),"",IFERROR(COUNTIFS(Match!$E:$E,C$5,Match!$F:$F,$B22,Match!$H:$H,"W")/COUNTIFS(Match!$E:$E,C$5,Match!$F:$F,$B22),""))</f>
        <v>1</v>
      </c>
      <c r="D22" s="21" t="str">
        <f>IF(OR($B22="",D$5=""),"",IFERROR(COUNTIFS(Match!$E:$E,D$5,Match!$F:$F,$B22,Match!$H:$H,"W")/COUNTIFS(Match!$E:$E,D$5,Match!$F:$F,$B22),""))</f>
        <v/>
      </c>
      <c r="E22" s="21">
        <f>IF(OR($B22="",E$5=""),"",IFERROR(COUNTIFS(Match!$E:$E,E$5,Match!$F:$F,$B22,Match!$H:$H,"W")/COUNTIFS(Match!$E:$E,E$5,Match!$F:$F,$B22),""))</f>
        <v>1</v>
      </c>
      <c r="F22" s="21" t="str">
        <f>IF(OR($B22="",F$5=""),"",IFERROR(COUNTIFS(Match!$E:$E,F$5,Match!$F:$F,$B22,Match!$H:$H,"W")/COUNTIFS(Match!$E:$E,F$5,Match!$F:$F,$B22),""))</f>
        <v/>
      </c>
      <c r="G22" s="21" t="str">
        <f>IF(OR($B22="",G$5=""),"",IFERROR(COUNTIFS(Match!$E:$E,G$5,Match!$F:$F,$B22,Match!$H:$H,"W")/COUNTIFS(Match!$E:$E,G$5,Match!$F:$F,$B22),""))</f>
        <v/>
      </c>
      <c r="H22" s="21" t="str">
        <f>IF(OR($B22="",H$5=""),"",IFERROR(COUNTIFS(Match!$E:$E,H$5,Match!$F:$F,$B22,Match!$H:$H,"W")/COUNTIFS(Match!$E:$E,H$5,Match!$F:$F,$B22),""))</f>
        <v/>
      </c>
      <c r="I22" s="21" t="str">
        <f>IF(OR($B22="",I$5=""),"",IFERROR(COUNTIFS(Match!$E:$E,I$5,Match!$F:$F,$B22,Match!$H:$H,"W")/COUNTIFS(Match!$E:$E,I$5,Match!$F:$F,$B22),""))</f>
        <v/>
      </c>
      <c r="J22" s="21">
        <f>IF(OR($B22="",J$5=""),"",IFERROR(COUNTIFS(Match!$E:$E,J$5,Match!$F:$F,$B22,Match!$H:$H,"W")/COUNTIFS(Match!$E:$E,J$5,Match!$F:$F,$B22),""))</f>
        <v>1</v>
      </c>
      <c r="K22" s="28">
        <f>IF($B22="","",IFERROR(COUNTIFS(Match!$F:$F,$B22,Match!$H:$H,"W")/COUNTIFS(Match!$F:$F,$B22),""))</f>
        <v>1</v>
      </c>
      <c r="L22" s="19" t="str">
        <f t="shared" si="2"/>
        <v>Hydrapple ex Ogerpon ex</v>
      </c>
      <c r="M22" s="29">
        <f>IF(OR($B22="",C$5=""),"",COUNTIFS(Match!$E:$E,C$5,Match!$F:$F,$B22))</f>
        <v>1</v>
      </c>
      <c r="N22" s="29">
        <f>IF(OR($B22="",D$5=""),"",COUNTIFS(Match!$E:$E,D$5,Match!$F:$F,$B22))</f>
        <v>0</v>
      </c>
      <c r="O22" s="29">
        <f>IF(OR($B22="",E$5=""),"",COUNTIFS(Match!$E:$E,E$5,Match!$F:$F,$B22))</f>
        <v>1</v>
      </c>
      <c r="P22" s="29">
        <f>IF(OR($B22="",F$5=""),"",COUNTIFS(Match!$E:$E,F$5,Match!$F:$F,$B22))</f>
        <v>0</v>
      </c>
      <c r="Q22" s="29">
        <f>IF(OR($B22="",G$5=""),"",COUNTIFS(Match!$E:$E,G$5,Match!$F:$F,$B22))</f>
        <v>0</v>
      </c>
      <c r="R22" s="29">
        <f>IF(OR($B22="",H$5=""),"",COUNTIFS(Match!$E:$E,H$5,Match!$F:$F,$B22))</f>
        <v>0</v>
      </c>
      <c r="S22" s="29">
        <f>IF(OR($B22="",I$5=""),"",COUNTIFS(Match!$E:$E,I$5,Match!$F:$F,$B22))</f>
        <v>0</v>
      </c>
      <c r="T22" s="29">
        <f>IF(OR($B22="",J$5=""),"",COUNTIFS(Match!$E:$E,J$5,Match!$F:$F,$B22))</f>
        <v>2</v>
      </c>
      <c r="U22" s="37">
        <f>IF($B22="","",COUNTIFS(Match!$F:$F,$B22))</f>
        <v>4</v>
      </c>
    </row>
    <row r="23" ht="15.75" customHeight="1">
      <c r="B23" s="19" t="s">
        <v>153</v>
      </c>
      <c r="C23" s="21" t="str">
        <f>IF(OR($B23="",C$5=""),"",IFERROR(COUNTIFS(Match!$E:$E,C$5,Match!$F:$F,$B23,Match!$H:$H,"W")/COUNTIFS(Match!$E:$E,C$5,Match!$F:$F,$B23),""))</f>
        <v/>
      </c>
      <c r="D23" s="21" t="str">
        <f>IF(OR($B23="",D$5=""),"",IFERROR(COUNTIFS(Match!$E:$E,D$5,Match!$F:$F,$B23,Match!$H:$H,"W")/COUNTIFS(Match!$E:$E,D$5,Match!$F:$F,$B23),""))</f>
        <v/>
      </c>
      <c r="E23" s="21" t="str">
        <f>IF(OR($B23="",E$5=""),"",IFERROR(COUNTIFS(Match!$E:$E,E$5,Match!$F:$F,$B23,Match!$H:$H,"W")/COUNTIFS(Match!$E:$E,E$5,Match!$F:$F,$B23),""))</f>
        <v/>
      </c>
      <c r="F23" s="21" t="str">
        <f>IF(OR($B23="",F$5=""),"",IFERROR(COUNTIFS(Match!$E:$E,F$5,Match!$F:$F,$B23,Match!$H:$H,"W")/COUNTIFS(Match!$E:$E,F$5,Match!$F:$F,$B23),""))</f>
        <v/>
      </c>
      <c r="G23" s="21" t="str">
        <f>IF(OR($B23="",G$5=""),"",IFERROR(COUNTIFS(Match!$E:$E,G$5,Match!$F:$F,$B23,Match!$H:$H,"W")/COUNTIFS(Match!$E:$E,G$5,Match!$F:$F,$B23),""))</f>
        <v/>
      </c>
      <c r="H23" s="21">
        <f>IF(OR($B23="",H$5=""),"",IFERROR(COUNTIFS(Match!$E:$E,H$5,Match!$F:$F,$B23,Match!$H:$H,"W")/COUNTIFS(Match!$E:$E,H$5,Match!$F:$F,$B23),""))</f>
        <v>0.5</v>
      </c>
      <c r="I23" s="21" t="str">
        <f>IF(OR($B23="",I$5=""),"",IFERROR(COUNTIFS(Match!$E:$E,I$5,Match!$F:$F,$B23,Match!$H:$H,"W")/COUNTIFS(Match!$E:$E,I$5,Match!$F:$F,$B23),""))</f>
        <v/>
      </c>
      <c r="J23" s="21" t="str">
        <f>IF(OR($B23="",J$5=""),"",IFERROR(COUNTIFS(Match!$E:$E,J$5,Match!$F:$F,$B23,Match!$H:$H,"W")/COUNTIFS(Match!$E:$E,J$5,Match!$F:$F,$B23),""))</f>
        <v/>
      </c>
      <c r="K23" s="28">
        <f>IF($B23="","",IFERROR(COUNTIFS(Match!$F:$F,$B23,Match!$H:$H,"W")/COUNTIFS(Match!$F:$F,$B23),""))</f>
        <v>0.5</v>
      </c>
      <c r="L23" s="19" t="str">
        <f t="shared" si="2"/>
        <v>Toxtricity box</v>
      </c>
      <c r="M23" s="29">
        <f>IF(OR($B23="",C$5=""),"",COUNTIFS(Match!$E:$E,C$5,Match!$F:$F,$B23))</f>
        <v>0</v>
      </c>
      <c r="N23" s="29">
        <f>IF(OR($B23="",D$5=""),"",COUNTIFS(Match!$E:$E,D$5,Match!$F:$F,$B23))</f>
        <v>0</v>
      </c>
      <c r="O23" s="29">
        <f>IF(OR($B23="",E$5=""),"",COUNTIFS(Match!$E:$E,E$5,Match!$F:$F,$B23))</f>
        <v>0</v>
      </c>
      <c r="P23" s="29">
        <f>IF(OR($B23="",F$5=""),"",COUNTIFS(Match!$E:$E,F$5,Match!$F:$F,$B23))</f>
        <v>0</v>
      </c>
      <c r="Q23" s="29">
        <f>IF(OR($B23="",G$5=""),"",COUNTIFS(Match!$E:$E,G$5,Match!$F:$F,$B23))</f>
        <v>0</v>
      </c>
      <c r="R23" s="29">
        <f>IF(OR($B23="",H$5=""),"",COUNTIFS(Match!$E:$E,H$5,Match!$F:$F,$B23))</f>
        <v>2</v>
      </c>
      <c r="S23" s="29">
        <f>IF(OR($B23="",I$5=""),"",COUNTIFS(Match!$E:$E,I$5,Match!$F:$F,$B23))</f>
        <v>0</v>
      </c>
      <c r="T23" s="29">
        <f>IF(OR($B23="",J$5=""),"",COUNTIFS(Match!$E:$E,J$5,Match!$F:$F,$B23))</f>
        <v>0</v>
      </c>
      <c r="U23" s="37">
        <f>IF($B23="","",COUNTIFS(Match!$F:$F,$B23))</f>
        <v>2</v>
      </c>
    </row>
    <row r="24" ht="15.75" customHeight="1">
      <c r="B24" s="19" t="s">
        <v>66</v>
      </c>
      <c r="C24" s="21">
        <f>IF(OR($B24="",C$5=""),"",IFERROR(COUNTIFS(Match!$E:$E,C$5,Match!$F:$F,$B24,Match!$H:$H,"W")/COUNTIFS(Match!$E:$E,C$5,Match!$F:$F,$B24),""))</f>
        <v>1</v>
      </c>
      <c r="D24" s="21" t="str">
        <f>IF(OR($B24="",D$5=""),"",IFERROR(COUNTIFS(Match!$E:$E,D$5,Match!$F:$F,$B24,Match!$H:$H,"W")/COUNTIFS(Match!$E:$E,D$5,Match!$F:$F,$B24),""))</f>
        <v/>
      </c>
      <c r="E24" s="21" t="str">
        <f>IF(OR($B24="",E$5=""),"",IFERROR(COUNTIFS(Match!$E:$E,E$5,Match!$F:$F,$B24,Match!$H:$H,"W")/COUNTIFS(Match!$E:$E,E$5,Match!$F:$F,$B24),""))</f>
        <v/>
      </c>
      <c r="F24" s="21" t="str">
        <f>IF(OR($B24="",F$5=""),"",IFERROR(COUNTIFS(Match!$E:$E,F$5,Match!$F:$F,$B24,Match!$H:$H,"W")/COUNTIFS(Match!$E:$E,F$5,Match!$F:$F,$B24),""))</f>
        <v/>
      </c>
      <c r="G24" s="21" t="str">
        <f>IF(OR($B24="",G$5=""),"",IFERROR(COUNTIFS(Match!$E:$E,G$5,Match!$F:$F,$B24,Match!$H:$H,"W")/COUNTIFS(Match!$E:$E,G$5,Match!$F:$F,$B24),""))</f>
        <v/>
      </c>
      <c r="H24" s="21" t="str">
        <f>IF(OR($B24="",H$5=""),"",IFERROR(COUNTIFS(Match!$E:$E,H$5,Match!$F:$F,$B24,Match!$H:$H,"W")/COUNTIFS(Match!$E:$E,H$5,Match!$F:$F,$B24),""))</f>
        <v/>
      </c>
      <c r="I24" s="21" t="str">
        <f>IF(OR($B24="",I$5=""),"",IFERROR(COUNTIFS(Match!$E:$E,I$5,Match!$F:$F,$B24,Match!$H:$H,"W")/COUNTIFS(Match!$E:$E,I$5,Match!$F:$F,$B24),""))</f>
        <v/>
      </c>
      <c r="J24" s="21" t="str">
        <f>IF(OR($B24="",J$5=""),"",IFERROR(COUNTIFS(Match!$E:$E,J$5,Match!$F:$F,$B24,Match!$H:$H,"W")/COUNTIFS(Match!$E:$E,J$5,Match!$F:$F,$B24),""))</f>
        <v/>
      </c>
      <c r="K24" s="28">
        <f>IF($B24="","",IFERROR(COUNTIFS(Match!$F:$F,$B24,Match!$H:$H,"W")/COUNTIFS(Match!$F:$F,$B24),""))</f>
        <v>1</v>
      </c>
      <c r="L24" s="19" t="str">
        <f t="shared" si="2"/>
        <v>Vileplume ex Ogerpon</v>
      </c>
      <c r="M24" s="29">
        <f>IF(OR($B24="",C$5=""),"",COUNTIFS(Match!$E:$E,C$5,Match!$F:$F,$B24))</f>
        <v>1</v>
      </c>
      <c r="N24" s="29">
        <f>IF(OR($B24="",D$5=""),"",COUNTIFS(Match!$E:$E,D$5,Match!$F:$F,$B24))</f>
        <v>0</v>
      </c>
      <c r="O24" s="29">
        <f>IF(OR($B24="",E$5=""),"",COUNTIFS(Match!$E:$E,E$5,Match!$F:$F,$B24))</f>
        <v>0</v>
      </c>
      <c r="P24" s="29">
        <f>IF(OR($B24="",F$5=""),"",COUNTIFS(Match!$E:$E,F$5,Match!$F:$F,$B24))</f>
        <v>0</v>
      </c>
      <c r="Q24" s="29">
        <f>IF(OR($B24="",G$5=""),"",COUNTIFS(Match!$E:$E,G$5,Match!$F:$F,$B24))</f>
        <v>0</v>
      </c>
      <c r="R24" s="29">
        <f>IF(OR($B24="",H$5=""),"",COUNTIFS(Match!$E:$E,H$5,Match!$F:$F,$B24))</f>
        <v>0</v>
      </c>
      <c r="S24" s="29">
        <f>IF(OR($B24="",I$5=""),"",COUNTIFS(Match!$E:$E,I$5,Match!$F:$F,$B24))</f>
        <v>0</v>
      </c>
      <c r="T24" s="29">
        <f>IF(OR($B24="",J$5=""),"",COUNTIFS(Match!$E:$E,J$5,Match!$F:$F,$B24))</f>
        <v>0</v>
      </c>
      <c r="U24" s="37">
        <f>IF($B24="","",COUNTIFS(Match!$F:$F,$B24))</f>
        <v>1</v>
      </c>
    </row>
    <row r="25" ht="15.75" customHeight="1">
      <c r="B25" s="19" t="s">
        <v>75</v>
      </c>
      <c r="C25" s="21">
        <f>IF(OR($B25="",C$5=""),"",IFERROR(COUNTIFS(Match!$E:$E,C$5,Match!$F:$F,$B25,Match!$H:$H,"W")/COUNTIFS(Match!$E:$E,C$5,Match!$F:$F,$B25),""))</f>
        <v>1</v>
      </c>
      <c r="D25" s="21" t="str">
        <f>IF(OR($B25="",D$5=""),"",IFERROR(COUNTIFS(Match!$E:$E,D$5,Match!$F:$F,$B25,Match!$H:$H,"W")/COUNTIFS(Match!$E:$E,D$5,Match!$F:$F,$B25),""))</f>
        <v/>
      </c>
      <c r="E25" s="21" t="str">
        <f>IF(OR($B25="",E$5=""),"",IFERROR(COUNTIFS(Match!$E:$E,E$5,Match!$F:$F,$B25,Match!$H:$H,"W")/COUNTIFS(Match!$E:$E,E$5,Match!$F:$F,$B25),""))</f>
        <v/>
      </c>
      <c r="F25" s="21" t="str">
        <f>IF(OR($B25="",F$5=""),"",IFERROR(COUNTIFS(Match!$E:$E,F$5,Match!$F:$F,$B25,Match!$H:$H,"W")/COUNTIFS(Match!$E:$E,F$5,Match!$F:$F,$B25),""))</f>
        <v/>
      </c>
      <c r="G25" s="21" t="str">
        <f>IF(OR($B25="",G$5=""),"",IFERROR(COUNTIFS(Match!$E:$E,G$5,Match!$F:$F,$B25,Match!$H:$H,"W")/COUNTIFS(Match!$E:$E,G$5,Match!$F:$F,$B25),""))</f>
        <v/>
      </c>
      <c r="H25" s="21" t="str">
        <f>IF(OR($B25="",H$5=""),"",IFERROR(COUNTIFS(Match!$E:$E,H$5,Match!$F:$F,$B25,Match!$H:$H,"W")/COUNTIFS(Match!$E:$E,H$5,Match!$F:$F,$B25),""))</f>
        <v/>
      </c>
      <c r="I25" s="21" t="str">
        <f>IF(OR($B25="",I$5=""),"",IFERROR(COUNTIFS(Match!$E:$E,I$5,Match!$F:$F,$B25,Match!$H:$H,"W")/COUNTIFS(Match!$E:$E,I$5,Match!$F:$F,$B25),""))</f>
        <v/>
      </c>
      <c r="J25" s="21" t="str">
        <f>IF(OR($B25="",J$5=""),"",IFERROR(COUNTIFS(Match!$E:$E,J$5,Match!$F:$F,$B25,Match!$H:$H,"W")/COUNTIFS(Match!$E:$E,J$5,Match!$F:$F,$B25),""))</f>
        <v/>
      </c>
      <c r="K25" s="28">
        <f>IF($B25="","",IFERROR(COUNTIFS(Match!$F:$F,$B25,Match!$H:$H,"W")/COUNTIFS(Match!$F:$F,$B25),""))</f>
        <v>1</v>
      </c>
      <c r="L25" s="19" t="str">
        <f t="shared" si="2"/>
        <v>MegaCharizard ex Oricorio</v>
      </c>
      <c r="M25" s="29">
        <f>IF(OR($B25="",C$5=""),"",COUNTIFS(Match!$E:$E,C$5,Match!$F:$F,$B25))</f>
        <v>1</v>
      </c>
      <c r="N25" s="29">
        <f>IF(OR($B25="",D$5=""),"",COUNTIFS(Match!$E:$E,D$5,Match!$F:$F,$B25))</f>
        <v>0</v>
      </c>
      <c r="O25" s="29">
        <f>IF(OR($B25="",E$5=""),"",COUNTIFS(Match!$E:$E,E$5,Match!$F:$F,$B25))</f>
        <v>0</v>
      </c>
      <c r="P25" s="29">
        <f>IF(OR($B25="",F$5=""),"",COUNTIFS(Match!$E:$E,F$5,Match!$F:$F,$B25))</f>
        <v>0</v>
      </c>
      <c r="Q25" s="29">
        <f>IF(OR($B25="",G$5=""),"",COUNTIFS(Match!$E:$E,G$5,Match!$F:$F,$B25))</f>
        <v>0</v>
      </c>
      <c r="R25" s="29">
        <f>IF(OR($B25="",H$5=""),"",COUNTIFS(Match!$E:$E,H$5,Match!$F:$F,$B25))</f>
        <v>0</v>
      </c>
      <c r="S25" s="29">
        <f>IF(OR($B25="",I$5=""),"",COUNTIFS(Match!$E:$E,I$5,Match!$F:$F,$B25))</f>
        <v>0</v>
      </c>
      <c r="T25" s="29">
        <f>IF(OR($B25="",J$5=""),"",COUNTIFS(Match!$E:$E,J$5,Match!$F:$F,$B25))</f>
        <v>0</v>
      </c>
      <c r="U25" s="37">
        <f>IF($B25="","",COUNTIFS(Match!$F:$F,$B25))</f>
        <v>1</v>
      </c>
    </row>
    <row r="26" ht="15.75" customHeight="1">
      <c r="B26" s="19" t="s">
        <v>104</v>
      </c>
      <c r="C26" s="21">
        <f>IF(OR($B26="",C$5=""),"",IFERROR(COUNTIFS(Match!$E:$E,C$5,Match!$F:$F,$B26,Match!$H:$H,"W")/COUNTIFS(Match!$E:$E,C$5,Match!$F:$F,$B26),""))</f>
        <v>1</v>
      </c>
      <c r="D26" s="21" t="str">
        <f>IF(OR($B26="",D$5=""),"",IFERROR(COUNTIFS(Match!$E:$E,D$5,Match!$F:$F,$B26,Match!$H:$H,"W")/COUNTIFS(Match!$E:$E,D$5,Match!$F:$F,$B26),""))</f>
        <v/>
      </c>
      <c r="E26" s="21" t="str">
        <f>IF(OR($B26="",E$5=""),"",IFERROR(COUNTIFS(Match!$E:$E,E$5,Match!$F:$F,$B26,Match!$H:$H,"W")/COUNTIFS(Match!$E:$E,E$5,Match!$F:$F,$B26),""))</f>
        <v/>
      </c>
      <c r="F26" s="21" t="str">
        <f>IF(OR($B26="",F$5=""),"",IFERROR(COUNTIFS(Match!$E:$E,F$5,Match!$F:$F,$B26,Match!$H:$H,"W")/COUNTIFS(Match!$E:$E,F$5,Match!$F:$F,$B26),""))</f>
        <v/>
      </c>
      <c r="G26" s="21" t="str">
        <f>IF(OR($B26="",G$5=""),"",IFERROR(COUNTIFS(Match!$E:$E,G$5,Match!$F:$F,$B26,Match!$H:$H,"W")/COUNTIFS(Match!$E:$E,G$5,Match!$F:$F,$B26),""))</f>
        <v/>
      </c>
      <c r="H26" s="21" t="str">
        <f>IF(OR($B26="",H$5=""),"",IFERROR(COUNTIFS(Match!$E:$E,H$5,Match!$F:$F,$B26,Match!$H:$H,"W")/COUNTIFS(Match!$E:$E,H$5,Match!$F:$F,$B26),""))</f>
        <v/>
      </c>
      <c r="I26" s="21" t="str">
        <f>IF(OR($B26="",I$5=""),"",IFERROR(COUNTIFS(Match!$E:$E,I$5,Match!$F:$F,$B26,Match!$H:$H,"W")/COUNTIFS(Match!$E:$E,I$5,Match!$F:$F,$B26),""))</f>
        <v/>
      </c>
      <c r="J26" s="21" t="str">
        <f>IF(OR($B26="",J$5=""),"",IFERROR(COUNTIFS(Match!$E:$E,J$5,Match!$F:$F,$B26,Match!$H:$H,"W")/COUNTIFS(Match!$E:$E,J$5,Match!$F:$F,$B26),""))</f>
        <v/>
      </c>
      <c r="K26" s="28">
        <f>IF($B26="","",IFERROR(COUNTIFS(Match!$F:$F,$B26,Match!$H:$H,"W")/COUNTIFS(Match!$F:$F,$B26),""))</f>
        <v>1</v>
      </c>
      <c r="L26" s="19" t="str">
        <f t="shared" si="2"/>
        <v>Spineferree ex Bastiodon</v>
      </c>
      <c r="M26" s="29">
        <f>IF(OR($B26="",C$5=""),"",COUNTIFS(Match!$E:$E,C$5,Match!$F:$F,$B26))</f>
        <v>1</v>
      </c>
      <c r="N26" s="29">
        <f>IF(OR($B26="",D$5=""),"",COUNTIFS(Match!$E:$E,D$5,Match!$F:$F,$B26))</f>
        <v>0</v>
      </c>
      <c r="O26" s="29">
        <f>IF(OR($B26="",E$5=""),"",COUNTIFS(Match!$E:$E,E$5,Match!$F:$F,$B26))</f>
        <v>0</v>
      </c>
      <c r="P26" s="29">
        <f>IF(OR($B26="",F$5=""),"",COUNTIFS(Match!$E:$E,F$5,Match!$F:$F,$B26))</f>
        <v>0</v>
      </c>
      <c r="Q26" s="29">
        <f>IF(OR($B26="",G$5=""),"",COUNTIFS(Match!$E:$E,G$5,Match!$F:$F,$B26))</f>
        <v>0</v>
      </c>
      <c r="R26" s="29">
        <f>IF(OR($B26="",H$5=""),"",COUNTIFS(Match!$E:$E,H$5,Match!$F:$F,$B26))</f>
        <v>0</v>
      </c>
      <c r="S26" s="29">
        <f>IF(OR($B26="",I$5=""),"",COUNTIFS(Match!$E:$E,I$5,Match!$F:$F,$B26))</f>
        <v>0</v>
      </c>
      <c r="T26" s="29">
        <f>IF(OR($B26="",J$5=""),"",COUNTIFS(Match!$E:$E,J$5,Match!$F:$F,$B26))</f>
        <v>0</v>
      </c>
      <c r="U26" s="37">
        <f>IF($B26="","",COUNTIFS(Match!$F:$F,$B26))</f>
        <v>1</v>
      </c>
    </row>
    <row r="27" ht="15.75" customHeight="1">
      <c r="B27" s="19" t="s">
        <v>114</v>
      </c>
      <c r="C27" s="21">
        <f>IF(OR($B27="",C$5=""),"",IFERROR(COUNTIFS(Match!$E:$E,C$5,Match!$F:$F,$B27,Match!$H:$H,"W")/COUNTIFS(Match!$E:$E,C$5,Match!$F:$F,$B27),""))</f>
        <v>0</v>
      </c>
      <c r="D27" s="21" t="str">
        <f>IF(OR($B27="",D$5=""),"",IFERROR(COUNTIFS(Match!$E:$E,D$5,Match!$F:$F,$B27,Match!$H:$H,"W")/COUNTIFS(Match!$E:$E,D$5,Match!$F:$F,$B27),""))</f>
        <v/>
      </c>
      <c r="E27" s="21" t="str">
        <f>IF(OR($B27="",E$5=""),"",IFERROR(COUNTIFS(Match!$E:$E,E$5,Match!$F:$F,$B27,Match!$H:$H,"W")/COUNTIFS(Match!$E:$E,E$5,Match!$F:$F,$B27),""))</f>
        <v/>
      </c>
      <c r="F27" s="21" t="str">
        <f>IF(OR($B27="",F$5=""),"",IFERROR(COUNTIFS(Match!$E:$E,F$5,Match!$F:$F,$B27,Match!$H:$H,"W")/COUNTIFS(Match!$E:$E,F$5,Match!$F:$F,$B27),""))</f>
        <v/>
      </c>
      <c r="G27" s="21" t="str">
        <f>IF(OR($B27="",G$5=""),"",IFERROR(COUNTIFS(Match!$E:$E,G$5,Match!$F:$F,$B27,Match!$H:$H,"W")/COUNTIFS(Match!$E:$E,G$5,Match!$F:$F,$B27),""))</f>
        <v/>
      </c>
      <c r="H27" s="21" t="str">
        <f>IF(OR($B27="",H$5=""),"",IFERROR(COUNTIFS(Match!$E:$E,H$5,Match!$F:$F,$B27,Match!$H:$H,"W")/COUNTIFS(Match!$E:$E,H$5,Match!$F:$F,$B27),""))</f>
        <v/>
      </c>
      <c r="I27" s="21" t="str">
        <f>IF(OR($B27="",I$5=""),"",IFERROR(COUNTIFS(Match!$E:$E,I$5,Match!$F:$F,$B27,Match!$H:$H,"W")/COUNTIFS(Match!$E:$E,I$5,Match!$F:$F,$B27),""))</f>
        <v/>
      </c>
      <c r="J27" s="21" t="str">
        <f>IF(OR($B27="",J$5=""),"",IFERROR(COUNTIFS(Match!$E:$E,J$5,Match!$F:$F,$B27,Match!$H:$H,"W")/COUNTIFS(Match!$E:$E,J$5,Match!$F:$F,$B27),""))</f>
        <v/>
      </c>
      <c r="K27" s="28">
        <f>IF($B27="","",IFERROR(COUNTIFS(Match!$F:$F,$B27,Match!$H:$H,"W")/COUNTIFS(Match!$F:$F,$B27),""))</f>
        <v>0</v>
      </c>
      <c r="L27" s="19" t="str">
        <f t="shared" si="2"/>
        <v>MegaStarmie ex Dragapult</v>
      </c>
      <c r="M27" s="29">
        <f>IF(OR($B27="",C$5=""),"",COUNTIFS(Match!$E:$E,C$5,Match!$F:$F,$B27))</f>
        <v>1</v>
      </c>
      <c r="N27" s="29">
        <f>IF(OR($B27="",D$5=""),"",COUNTIFS(Match!$E:$E,D$5,Match!$F:$F,$B27))</f>
        <v>0</v>
      </c>
      <c r="O27" s="29">
        <f>IF(OR($B27="",E$5=""),"",COUNTIFS(Match!$E:$E,E$5,Match!$F:$F,$B27))</f>
        <v>0</v>
      </c>
      <c r="P27" s="29">
        <f>IF(OR($B27="",F$5=""),"",COUNTIFS(Match!$E:$E,F$5,Match!$F:$F,$B27))</f>
        <v>0</v>
      </c>
      <c r="Q27" s="29">
        <f>IF(OR($B27="",G$5=""),"",COUNTIFS(Match!$E:$E,G$5,Match!$F:$F,$B27))</f>
        <v>0</v>
      </c>
      <c r="R27" s="29">
        <f>IF(OR($B27="",H$5=""),"",COUNTIFS(Match!$E:$E,H$5,Match!$F:$F,$B27))</f>
        <v>0</v>
      </c>
      <c r="S27" s="29">
        <f>IF(OR($B27="",I$5=""),"",COUNTIFS(Match!$E:$E,I$5,Match!$F:$F,$B27))</f>
        <v>0</v>
      </c>
      <c r="T27" s="29">
        <f>IF(OR($B27="",J$5=""),"",COUNTIFS(Match!$E:$E,J$5,Match!$F:$F,$B27))</f>
        <v>0</v>
      </c>
      <c r="U27" s="37">
        <f>IF($B27="","",COUNTIFS(Match!$F:$F,$B27))</f>
        <v>1</v>
      </c>
    </row>
    <row r="28" ht="15.75" customHeight="1">
      <c r="B28" s="19" t="s">
        <v>121</v>
      </c>
      <c r="C28" s="21" t="str">
        <f>IF(OR($B28="",C$5=""),"",IFERROR(COUNTIFS(Match!$E:$E,C$5,Match!$F:$F,$B28,Match!$H:$H,"W")/COUNTIFS(Match!$E:$E,C$5,Match!$F:$F,$B28),""))</f>
        <v/>
      </c>
      <c r="D28" s="21">
        <f>IF(OR($B28="",D$5=""),"",IFERROR(COUNTIFS(Match!$E:$E,D$5,Match!$F:$F,$B28,Match!$H:$H,"W")/COUNTIFS(Match!$E:$E,D$5,Match!$F:$F,$B28),""))</f>
        <v>1</v>
      </c>
      <c r="E28" s="21" t="str">
        <f>IF(OR($B28="",E$5=""),"",IFERROR(COUNTIFS(Match!$E:$E,E$5,Match!$F:$F,$B28,Match!$H:$H,"W")/COUNTIFS(Match!$E:$E,E$5,Match!$F:$F,$B28),""))</f>
        <v/>
      </c>
      <c r="F28" s="21" t="str">
        <f>IF(OR($B28="",F$5=""),"",IFERROR(COUNTIFS(Match!$E:$E,F$5,Match!$F:$F,$B28,Match!$H:$H,"W")/COUNTIFS(Match!$E:$E,F$5,Match!$F:$F,$B28),""))</f>
        <v/>
      </c>
      <c r="G28" s="21" t="str">
        <f>IF(OR($B28="",G$5=""),"",IFERROR(COUNTIFS(Match!$E:$E,G$5,Match!$F:$F,$B28,Match!$H:$H,"W")/COUNTIFS(Match!$E:$E,G$5,Match!$F:$F,$B28),""))</f>
        <v/>
      </c>
      <c r="H28" s="21" t="str">
        <f>IF(OR($B28="",H$5=""),"",IFERROR(COUNTIFS(Match!$E:$E,H$5,Match!$F:$F,$B28,Match!$H:$H,"W")/COUNTIFS(Match!$E:$E,H$5,Match!$F:$F,$B28),""))</f>
        <v/>
      </c>
      <c r="I28" s="21" t="str">
        <f>IF(OR($B28="",I$5=""),"",IFERROR(COUNTIFS(Match!$E:$E,I$5,Match!$F:$F,$B28,Match!$H:$H,"W")/COUNTIFS(Match!$E:$E,I$5,Match!$F:$F,$B28),""))</f>
        <v/>
      </c>
      <c r="J28" s="21" t="str">
        <f>IF(OR($B28="",J$5=""),"",IFERROR(COUNTIFS(Match!$E:$E,J$5,Match!$F:$F,$B28,Match!$H:$H,"W")/COUNTIFS(Match!$E:$E,J$5,Match!$F:$F,$B28),""))</f>
        <v/>
      </c>
      <c r="K28" s="28">
        <f>IF($B28="","",IFERROR(COUNTIFS(Match!$F:$F,$B28,Match!$H:$H,"W")/COUNTIFS(Match!$F:$F,$B28),""))</f>
        <v>1</v>
      </c>
      <c r="L28" s="19" t="str">
        <f t="shared" si="2"/>
        <v>MegaFroslass ex Chandelure</v>
      </c>
      <c r="M28" s="29">
        <f>IF(OR($B28="",C$5=""),"",COUNTIFS(Match!$E:$E,C$5,Match!$F:$F,$B28))</f>
        <v>0</v>
      </c>
      <c r="N28" s="29">
        <f>IF(OR($B28="",D$5=""),"",COUNTIFS(Match!$E:$E,D$5,Match!$F:$F,$B28))</f>
        <v>1</v>
      </c>
      <c r="O28" s="29">
        <f>IF(OR($B28="",E$5=""),"",COUNTIFS(Match!$E:$E,E$5,Match!$F:$F,$B28))</f>
        <v>0</v>
      </c>
      <c r="P28" s="29">
        <f>IF(OR($B28="",F$5=""),"",COUNTIFS(Match!$E:$E,F$5,Match!$F:$F,$B28))</f>
        <v>0</v>
      </c>
      <c r="Q28" s="29">
        <f>IF(OR($B28="",G$5=""),"",COUNTIFS(Match!$E:$E,G$5,Match!$F:$F,$B28))</f>
        <v>0</v>
      </c>
      <c r="R28" s="29">
        <f>IF(OR($B28="",H$5=""),"",COUNTIFS(Match!$E:$E,H$5,Match!$F:$F,$B28))</f>
        <v>0</v>
      </c>
      <c r="S28" s="29">
        <f>IF(OR($B28="",I$5=""),"",COUNTIFS(Match!$E:$E,I$5,Match!$F:$F,$B28))</f>
        <v>0</v>
      </c>
      <c r="T28" s="29">
        <f>IF(OR($B28="",J$5=""),"",COUNTIFS(Match!$E:$E,J$5,Match!$F:$F,$B28))</f>
        <v>0</v>
      </c>
      <c r="U28" s="37">
        <f>IF($B28="","",COUNTIFS(Match!$F:$F,$B28))</f>
        <v>1</v>
      </c>
    </row>
    <row r="29" ht="15.75" customHeight="1">
      <c r="B29" s="19" t="s">
        <v>129</v>
      </c>
      <c r="C29" s="21">
        <f>IF(OR($B29="",C$5=""),"",IFERROR(COUNTIFS(Match!$E:$E,C$5,Match!$F:$F,$B29,Match!$H:$H,"W")/COUNTIFS(Match!$E:$E,C$5,Match!$F:$F,$B29),""))</f>
        <v>1</v>
      </c>
      <c r="D29" s="21" t="str">
        <f>IF(OR($B29="",D$5=""),"",IFERROR(COUNTIFS(Match!$E:$E,D$5,Match!$F:$F,$B29,Match!$H:$H,"W")/COUNTIFS(Match!$E:$E,D$5,Match!$F:$F,$B29),""))</f>
        <v/>
      </c>
      <c r="E29" s="21" t="str">
        <f>IF(OR($B29="",E$5=""),"",IFERROR(COUNTIFS(Match!$E:$E,E$5,Match!$F:$F,$B29,Match!$H:$H,"W")/COUNTIFS(Match!$E:$E,E$5,Match!$F:$F,$B29),""))</f>
        <v/>
      </c>
      <c r="F29" s="21" t="str">
        <f>IF(OR($B29="",F$5=""),"",IFERROR(COUNTIFS(Match!$E:$E,F$5,Match!$F:$F,$B29,Match!$H:$H,"W")/COUNTIFS(Match!$E:$E,F$5,Match!$F:$F,$B29),""))</f>
        <v/>
      </c>
      <c r="G29" s="21" t="str">
        <f>IF(OR($B29="",G$5=""),"",IFERROR(COUNTIFS(Match!$E:$E,G$5,Match!$F:$F,$B29,Match!$H:$H,"W")/COUNTIFS(Match!$E:$E,G$5,Match!$F:$F,$B29),""))</f>
        <v/>
      </c>
      <c r="H29" s="21" t="str">
        <f>IF(OR($B29="",H$5=""),"",IFERROR(COUNTIFS(Match!$E:$E,H$5,Match!$F:$F,$B29,Match!$H:$H,"W")/COUNTIFS(Match!$E:$E,H$5,Match!$F:$F,$B29),""))</f>
        <v/>
      </c>
      <c r="I29" s="21" t="str">
        <f>IF(OR($B29="",I$5=""),"",IFERROR(COUNTIFS(Match!$E:$E,I$5,Match!$F:$F,$B29,Match!$H:$H,"W")/COUNTIFS(Match!$E:$E,I$5,Match!$F:$F,$B29),""))</f>
        <v/>
      </c>
      <c r="J29" s="21" t="str">
        <f>IF(OR($B29="",J$5=""),"",IFERROR(COUNTIFS(Match!$E:$E,J$5,Match!$F:$F,$B29,Match!$H:$H,"W")/COUNTIFS(Match!$E:$E,J$5,Match!$F:$F,$B29),""))</f>
        <v/>
      </c>
      <c r="K29" s="28">
        <f>IF($B29="","",IFERROR(COUNTIFS(Match!$F:$F,$B29,Match!$H:$H,"W")/COUNTIFS(Match!$F:$F,$B29),""))</f>
        <v>1</v>
      </c>
      <c r="L29" s="19" t="str">
        <f t="shared" si="2"/>
        <v>MegaGreninja ex Blaziken</v>
      </c>
      <c r="M29" s="29">
        <f>IF(OR($B29="",C$5=""),"",COUNTIFS(Match!$E:$E,C$5,Match!$F:$F,$B29))</f>
        <v>1</v>
      </c>
      <c r="N29" s="29">
        <f>IF(OR($B29="",D$5=""),"",COUNTIFS(Match!$E:$E,D$5,Match!$F:$F,$B29))</f>
        <v>0</v>
      </c>
      <c r="O29" s="29">
        <f>IF(OR($B29="",E$5=""),"",COUNTIFS(Match!$E:$E,E$5,Match!$F:$F,$B29))</f>
        <v>0</v>
      </c>
      <c r="P29" s="29">
        <f>IF(OR($B29="",F$5=""),"",COUNTIFS(Match!$E:$E,F$5,Match!$F:$F,$B29))</f>
        <v>0</v>
      </c>
      <c r="Q29" s="29">
        <f>IF(OR($B29="",G$5=""),"",COUNTIFS(Match!$E:$E,G$5,Match!$F:$F,$B29))</f>
        <v>0</v>
      </c>
      <c r="R29" s="29">
        <f>IF(OR($B29="",H$5=""),"",COUNTIFS(Match!$E:$E,H$5,Match!$F:$F,$B29))</f>
        <v>0</v>
      </c>
      <c r="S29" s="29">
        <f>IF(OR($B29="",I$5=""),"",COUNTIFS(Match!$E:$E,I$5,Match!$F:$F,$B29))</f>
        <v>0</v>
      </c>
      <c r="T29" s="29">
        <f>IF(OR($B29="",J$5=""),"",COUNTIFS(Match!$E:$E,J$5,Match!$F:$F,$B29))</f>
        <v>0</v>
      </c>
      <c r="U29" s="37">
        <f>IF($B29="","",COUNTIFS(Match!$F:$F,$B29))</f>
        <v>1</v>
      </c>
    </row>
    <row r="30" ht="15.75" customHeight="1">
      <c r="B30" s="19" t="s">
        <v>131</v>
      </c>
      <c r="C30" s="21">
        <f>IF(OR($B30="",C$5=""),"",IFERROR(COUNTIFS(Match!$E:$E,C$5,Match!$F:$F,$B30,Match!$H:$H,"W")/COUNTIFS(Match!$E:$E,C$5,Match!$F:$F,$B30),""))</f>
        <v>0</v>
      </c>
      <c r="D30" s="21" t="str">
        <f>IF(OR($B30="",D$5=""),"",IFERROR(COUNTIFS(Match!$E:$E,D$5,Match!$F:$F,$B30,Match!$H:$H,"W")/COUNTIFS(Match!$E:$E,D$5,Match!$F:$F,$B30),""))</f>
        <v/>
      </c>
      <c r="E30" s="21" t="str">
        <f>IF(OR($B30="",E$5=""),"",IFERROR(COUNTIFS(Match!$E:$E,E$5,Match!$F:$F,$B30,Match!$H:$H,"W")/COUNTIFS(Match!$E:$E,E$5,Match!$F:$F,$B30),""))</f>
        <v/>
      </c>
      <c r="F30" s="21" t="str">
        <f>IF(OR($B30="",F$5=""),"",IFERROR(COUNTIFS(Match!$E:$E,F$5,Match!$F:$F,$B30,Match!$H:$H,"W")/COUNTIFS(Match!$E:$E,F$5,Match!$F:$F,$B30),""))</f>
        <v/>
      </c>
      <c r="G30" s="21" t="str">
        <f>IF(OR($B30="",G$5=""),"",IFERROR(COUNTIFS(Match!$E:$E,G$5,Match!$F:$F,$B30,Match!$H:$H,"W")/COUNTIFS(Match!$E:$E,G$5,Match!$F:$F,$B30),""))</f>
        <v/>
      </c>
      <c r="H30" s="21" t="str">
        <f>IF(OR($B30="",H$5=""),"",IFERROR(COUNTIFS(Match!$E:$E,H$5,Match!$F:$F,$B30,Match!$H:$H,"W")/COUNTIFS(Match!$E:$E,H$5,Match!$F:$F,$B30),""))</f>
        <v/>
      </c>
      <c r="I30" s="21" t="str">
        <f>IF(OR($B30="",I$5=""),"",IFERROR(COUNTIFS(Match!$E:$E,I$5,Match!$F:$F,$B30,Match!$H:$H,"W")/COUNTIFS(Match!$E:$E,I$5,Match!$F:$F,$B30),""))</f>
        <v/>
      </c>
      <c r="J30" s="21" t="str">
        <f>IF(OR($B30="",J$5=""),"",IFERROR(COUNTIFS(Match!$E:$E,J$5,Match!$F:$F,$B30,Match!$H:$H,"W")/COUNTIFS(Match!$E:$E,J$5,Match!$F:$F,$B30),""))</f>
        <v/>
      </c>
      <c r="K30" s="28">
        <f>IF($B30="","",IFERROR(COUNTIFS(Match!$F:$F,$B30,Match!$H:$H,"W")/COUNTIFS(Match!$F:$F,$B30),""))</f>
        <v>0</v>
      </c>
      <c r="L30" s="19" t="str">
        <f t="shared" si="2"/>
        <v>Dragapult ex Dusknoir</v>
      </c>
      <c r="M30" s="29">
        <f>IF(OR($B30="",C$5=""),"",COUNTIFS(Match!$E:$E,C$5,Match!$F:$F,$B30))</f>
        <v>1</v>
      </c>
      <c r="N30" s="29">
        <f>IF(OR($B30="",D$5=""),"",COUNTIFS(Match!$E:$E,D$5,Match!$F:$F,$B30))</f>
        <v>0</v>
      </c>
      <c r="O30" s="29">
        <f>IF(OR($B30="",E$5=""),"",COUNTIFS(Match!$E:$E,E$5,Match!$F:$F,$B30))</f>
        <v>0</v>
      </c>
      <c r="P30" s="29">
        <f>IF(OR($B30="",F$5=""),"",COUNTIFS(Match!$E:$E,F$5,Match!$F:$F,$B30))</f>
        <v>0</v>
      </c>
      <c r="Q30" s="29">
        <f>IF(OR($B30="",G$5=""),"",COUNTIFS(Match!$E:$E,G$5,Match!$F:$F,$B30))</f>
        <v>0</v>
      </c>
      <c r="R30" s="29">
        <f>IF(OR($B30="",H$5=""),"",COUNTIFS(Match!$E:$E,H$5,Match!$F:$F,$B30))</f>
        <v>0</v>
      </c>
      <c r="S30" s="29">
        <f>IF(OR($B30="",I$5=""),"",COUNTIFS(Match!$E:$E,I$5,Match!$F:$F,$B30))</f>
        <v>0</v>
      </c>
      <c r="T30" s="29">
        <f>IF(OR($B30="",J$5=""),"",COUNTIFS(Match!$E:$E,J$5,Match!$F:$F,$B30))</f>
        <v>0</v>
      </c>
      <c r="U30" s="37">
        <f>IF($B30="","",COUNTIFS(Match!$F:$F,$B30))</f>
        <v>1</v>
      </c>
    </row>
    <row r="31" ht="15.75" customHeight="1">
      <c r="B31" s="19" t="s">
        <v>132</v>
      </c>
      <c r="C31" s="21">
        <f>IF(OR($B31="",C$5=""),"",IFERROR(COUNTIFS(Match!$E:$E,C$5,Match!$F:$F,$B31,Match!$H:$H,"W")/COUNTIFS(Match!$E:$E,C$5,Match!$F:$F,$B31),""))</f>
        <v>1</v>
      </c>
      <c r="D31" s="21">
        <f>IF(OR($B31="",D$5=""),"",IFERROR(COUNTIFS(Match!$E:$E,D$5,Match!$F:$F,$B31,Match!$H:$H,"W")/COUNTIFS(Match!$E:$E,D$5,Match!$F:$F,$B31),""))</f>
        <v>1</v>
      </c>
      <c r="E31" s="21" t="str">
        <f>IF(OR($B31="",E$5=""),"",IFERROR(COUNTIFS(Match!$E:$E,E$5,Match!$F:$F,$B31,Match!$H:$H,"W")/COUNTIFS(Match!$E:$E,E$5,Match!$F:$F,$B31),""))</f>
        <v/>
      </c>
      <c r="F31" s="21" t="str">
        <f>IF(OR($B31="",F$5=""),"",IFERROR(COUNTIFS(Match!$E:$E,F$5,Match!$F:$F,$B31,Match!$H:$H,"W")/COUNTIFS(Match!$E:$E,F$5,Match!$F:$F,$B31),""))</f>
        <v/>
      </c>
      <c r="G31" s="21" t="str">
        <f>IF(OR($B31="",G$5=""),"",IFERROR(COUNTIFS(Match!$E:$E,G$5,Match!$F:$F,$B31,Match!$H:$H,"W")/COUNTIFS(Match!$E:$E,G$5,Match!$F:$F,$B31),""))</f>
        <v/>
      </c>
      <c r="H31" s="21" t="str">
        <f>IF(OR($B31="",H$5=""),"",IFERROR(COUNTIFS(Match!$E:$E,H$5,Match!$F:$F,$B31,Match!$H:$H,"W")/COUNTIFS(Match!$E:$E,H$5,Match!$F:$F,$B31),""))</f>
        <v/>
      </c>
      <c r="I31" s="21" t="str">
        <f>IF(OR($B31="",I$5=""),"",IFERROR(COUNTIFS(Match!$E:$E,I$5,Match!$F:$F,$B31,Match!$H:$H,"W")/COUNTIFS(Match!$E:$E,I$5,Match!$F:$F,$B31),""))</f>
        <v/>
      </c>
      <c r="J31" s="21">
        <f>IF(OR($B31="",J$5=""),"",IFERROR(COUNTIFS(Match!$E:$E,J$5,Match!$F:$F,$B31,Match!$H:$H,"W")/COUNTIFS(Match!$E:$E,J$5,Match!$F:$F,$B31),""))</f>
        <v>0</v>
      </c>
      <c r="K31" s="28">
        <f>IF($B31="","",IFERROR(COUNTIFS(Match!$F:$F,$B31,Match!$H:$H,"W")/COUNTIFS(Match!$F:$F,$B31),""))</f>
        <v>0.6666666667</v>
      </c>
      <c r="L31" s="19" t="str">
        <f t="shared" si="2"/>
        <v>MegaChandelure ex</v>
      </c>
      <c r="M31" s="29">
        <f>IF(OR($B31="",C$5=""),"",COUNTIFS(Match!$E:$E,C$5,Match!$F:$F,$B31))</f>
        <v>1</v>
      </c>
      <c r="N31" s="29">
        <f>IF(OR($B31="",D$5=""),"",COUNTIFS(Match!$E:$E,D$5,Match!$F:$F,$B31))</f>
        <v>1</v>
      </c>
      <c r="O31" s="29">
        <f>IF(OR($B31="",E$5=""),"",COUNTIFS(Match!$E:$E,E$5,Match!$F:$F,$B31))</f>
        <v>0</v>
      </c>
      <c r="P31" s="29">
        <f>IF(OR($B31="",F$5=""),"",COUNTIFS(Match!$E:$E,F$5,Match!$F:$F,$B31))</f>
        <v>0</v>
      </c>
      <c r="Q31" s="29">
        <f>IF(OR($B31="",G$5=""),"",COUNTIFS(Match!$E:$E,G$5,Match!$F:$F,$B31))</f>
        <v>0</v>
      </c>
      <c r="R31" s="29">
        <f>IF(OR($B31="",H$5=""),"",COUNTIFS(Match!$E:$E,H$5,Match!$F:$F,$B31))</f>
        <v>0</v>
      </c>
      <c r="S31" s="29">
        <f>IF(OR($B31="",I$5=""),"",COUNTIFS(Match!$E:$E,I$5,Match!$F:$F,$B31))</f>
        <v>0</v>
      </c>
      <c r="T31" s="29">
        <f>IF(OR($B31="",J$5=""),"",COUNTIFS(Match!$E:$E,J$5,Match!$F:$F,$B31))</f>
        <v>1</v>
      </c>
      <c r="U31" s="37">
        <f>IF($B31="","",COUNTIFS(Match!$F:$F,$B31))</f>
        <v>3</v>
      </c>
    </row>
    <row r="32" ht="15.75" customHeight="1">
      <c r="B32" s="19" t="s">
        <v>133</v>
      </c>
      <c r="C32" s="21">
        <f>IF(OR($B32="",C$5=""),"",IFERROR(COUNTIFS(Match!$E:$E,C$5,Match!$F:$F,$B32,Match!$H:$H,"W")/COUNTIFS(Match!$E:$E,C$5,Match!$F:$F,$B32),""))</f>
        <v>1</v>
      </c>
      <c r="D32" s="21" t="str">
        <f>IF(OR($B32="",D$5=""),"",IFERROR(COUNTIFS(Match!$E:$E,D$5,Match!$F:$F,$B32,Match!$H:$H,"W")/COUNTIFS(Match!$E:$E,D$5,Match!$F:$F,$B32),""))</f>
        <v/>
      </c>
      <c r="E32" s="21" t="str">
        <f>IF(OR($B32="",E$5=""),"",IFERROR(COUNTIFS(Match!$E:$E,E$5,Match!$F:$F,$B32,Match!$H:$H,"W")/COUNTIFS(Match!$E:$E,E$5,Match!$F:$F,$B32),""))</f>
        <v/>
      </c>
      <c r="F32" s="21" t="str">
        <f>IF(OR($B32="",F$5=""),"",IFERROR(COUNTIFS(Match!$E:$E,F$5,Match!$F:$F,$B32,Match!$H:$H,"W")/COUNTIFS(Match!$E:$E,F$5,Match!$F:$F,$B32),""))</f>
        <v/>
      </c>
      <c r="G32" s="21" t="str">
        <f>IF(OR($B32="",G$5=""),"",IFERROR(COUNTIFS(Match!$E:$E,G$5,Match!$F:$F,$B32,Match!$H:$H,"W")/COUNTIFS(Match!$E:$E,G$5,Match!$F:$F,$B32),""))</f>
        <v/>
      </c>
      <c r="H32" s="21" t="str">
        <f>IF(OR($B32="",H$5=""),"",IFERROR(COUNTIFS(Match!$E:$E,H$5,Match!$F:$F,$B32,Match!$H:$H,"W")/COUNTIFS(Match!$E:$E,H$5,Match!$F:$F,$B32),""))</f>
        <v/>
      </c>
      <c r="I32" s="21" t="str">
        <f>IF(OR($B32="",I$5=""),"",IFERROR(COUNTIFS(Match!$E:$E,I$5,Match!$F:$F,$B32,Match!$H:$H,"W")/COUNTIFS(Match!$E:$E,I$5,Match!$F:$F,$B32),""))</f>
        <v/>
      </c>
      <c r="J32" s="21" t="str">
        <f>IF(OR($B32="",J$5=""),"",IFERROR(COUNTIFS(Match!$E:$E,J$5,Match!$F:$F,$B32,Match!$H:$H,"W")/COUNTIFS(Match!$E:$E,J$5,Match!$F:$F,$B32),""))</f>
        <v/>
      </c>
      <c r="K32" s="28">
        <f>IF($B32="","",IFERROR(COUNTIFS(Match!$F:$F,$B32,Match!$H:$H,"W")/COUNTIFS(Match!$F:$F,$B32),""))</f>
        <v>1</v>
      </c>
      <c r="L32" s="19" t="str">
        <f t="shared" si="2"/>
        <v>Mewtwo ex Spidops</v>
      </c>
      <c r="M32" s="29">
        <f>IF(OR($B32="",C$5=""),"",COUNTIFS(Match!$E:$E,C$5,Match!$F:$F,$B32))</f>
        <v>1</v>
      </c>
      <c r="N32" s="29">
        <f>IF(OR($B32="",D$5=""),"",COUNTIFS(Match!$E:$E,D$5,Match!$F:$F,$B32))</f>
        <v>0</v>
      </c>
      <c r="O32" s="29">
        <f>IF(OR($B32="",E$5=""),"",COUNTIFS(Match!$E:$E,E$5,Match!$F:$F,$B32))</f>
        <v>0</v>
      </c>
      <c r="P32" s="29">
        <f>IF(OR($B32="",F$5=""),"",COUNTIFS(Match!$E:$E,F$5,Match!$F:$F,$B32))</f>
        <v>0</v>
      </c>
      <c r="Q32" s="29">
        <f>IF(OR($B32="",G$5=""),"",COUNTIFS(Match!$E:$E,G$5,Match!$F:$F,$B32))</f>
        <v>0</v>
      </c>
      <c r="R32" s="29">
        <f>IF(OR($B32="",H$5=""),"",COUNTIFS(Match!$E:$E,H$5,Match!$F:$F,$B32))</f>
        <v>0</v>
      </c>
      <c r="S32" s="29">
        <f>IF(OR($B32="",I$5=""),"",COUNTIFS(Match!$E:$E,I$5,Match!$F:$F,$B32))</f>
        <v>0</v>
      </c>
      <c r="T32" s="29">
        <f>IF(OR($B32="",J$5=""),"",COUNTIFS(Match!$E:$E,J$5,Match!$F:$F,$B32))</f>
        <v>0</v>
      </c>
      <c r="U32" s="37">
        <f>IF($B32="","",COUNTIFS(Match!$F:$F,$B32))</f>
        <v>1</v>
      </c>
    </row>
    <row r="33" ht="15.75" customHeight="1">
      <c r="B33" s="19" t="s">
        <v>141</v>
      </c>
      <c r="C33" s="21" t="str">
        <f>IF(OR($B33="",C$5=""),"",IFERROR(COUNTIFS(Match!$E:$E,C$5,Match!$F:$F,$B33,Match!$H:$H,"W")/COUNTIFS(Match!$E:$E,C$5,Match!$F:$F,$B33),""))</f>
        <v/>
      </c>
      <c r="D33" s="21">
        <f>IF(OR($B33="",D$5=""),"",IFERROR(COUNTIFS(Match!$E:$E,D$5,Match!$F:$F,$B33,Match!$H:$H,"W")/COUNTIFS(Match!$E:$E,D$5,Match!$F:$F,$B33),""))</f>
        <v>1</v>
      </c>
      <c r="E33" s="21" t="str">
        <f>IF(OR($B33="",E$5=""),"",IFERROR(COUNTIFS(Match!$E:$E,E$5,Match!$F:$F,$B33,Match!$H:$H,"W")/COUNTIFS(Match!$E:$E,E$5,Match!$F:$F,$B33),""))</f>
        <v/>
      </c>
      <c r="F33" s="21" t="str">
        <f>IF(OR($B33="",F$5=""),"",IFERROR(COUNTIFS(Match!$E:$E,F$5,Match!$F:$F,$B33,Match!$H:$H,"W")/COUNTIFS(Match!$E:$E,F$5,Match!$F:$F,$B33),""))</f>
        <v/>
      </c>
      <c r="G33" s="21" t="str">
        <f>IF(OR($B33="",G$5=""),"",IFERROR(COUNTIFS(Match!$E:$E,G$5,Match!$F:$F,$B33,Match!$H:$H,"W")/COUNTIFS(Match!$E:$E,G$5,Match!$F:$F,$B33),""))</f>
        <v/>
      </c>
      <c r="H33" s="21" t="str">
        <f>IF(OR($B33="",H$5=""),"",IFERROR(COUNTIFS(Match!$E:$E,H$5,Match!$F:$F,$B33,Match!$H:$H,"W")/COUNTIFS(Match!$E:$E,H$5,Match!$F:$F,$B33),""))</f>
        <v/>
      </c>
      <c r="I33" s="21" t="str">
        <f>IF(OR($B33="",I$5=""),"",IFERROR(COUNTIFS(Match!$E:$E,I$5,Match!$F:$F,$B33,Match!$H:$H,"W")/COUNTIFS(Match!$E:$E,I$5,Match!$F:$F,$B33),""))</f>
        <v/>
      </c>
      <c r="J33" s="21" t="str">
        <f>IF(OR($B33="",J$5=""),"",IFERROR(COUNTIFS(Match!$E:$E,J$5,Match!$F:$F,$B33,Match!$H:$H,"W")/COUNTIFS(Match!$E:$E,J$5,Match!$F:$F,$B33),""))</f>
        <v/>
      </c>
      <c r="K33" s="28">
        <f>IF($B33="","",IFERROR(COUNTIFS(Match!$F:$F,$B33,Match!$H:$H,"W")/COUNTIFS(Match!$F:$F,$B33),""))</f>
        <v>1</v>
      </c>
      <c r="L33" s="19" t="str">
        <f t="shared" si="2"/>
        <v>MegaDarkrai ex</v>
      </c>
      <c r="M33" s="29">
        <f>IF(OR($B33="",C$5=""),"",COUNTIFS(Match!$E:$E,C$5,Match!$F:$F,$B33))</f>
        <v>0</v>
      </c>
      <c r="N33" s="29">
        <f>IF(OR($B33="",D$5=""),"",COUNTIFS(Match!$E:$E,D$5,Match!$F:$F,$B33))</f>
        <v>1</v>
      </c>
      <c r="O33" s="29">
        <f>IF(OR($B33="",E$5=""),"",COUNTIFS(Match!$E:$E,E$5,Match!$F:$F,$B33))</f>
        <v>0</v>
      </c>
      <c r="P33" s="29">
        <f>IF(OR($B33="",F$5=""),"",COUNTIFS(Match!$E:$E,F$5,Match!$F:$F,$B33))</f>
        <v>0</v>
      </c>
      <c r="Q33" s="29">
        <f>IF(OR($B33="",G$5=""),"",COUNTIFS(Match!$E:$E,G$5,Match!$F:$F,$B33))</f>
        <v>0</v>
      </c>
      <c r="R33" s="29">
        <f>IF(OR($B33="",H$5=""),"",COUNTIFS(Match!$E:$E,H$5,Match!$F:$F,$B33))</f>
        <v>0</v>
      </c>
      <c r="S33" s="29">
        <f>IF(OR($B33="",I$5=""),"",COUNTIFS(Match!$E:$E,I$5,Match!$F:$F,$B33))</f>
        <v>0</v>
      </c>
      <c r="T33" s="29">
        <f>IF(OR($B33="",J$5=""),"",COUNTIFS(Match!$E:$E,J$5,Match!$F:$F,$B33))</f>
        <v>0</v>
      </c>
      <c r="U33" s="37">
        <f>IF($B33="","",COUNTIFS(Match!$F:$F,$B33))</f>
        <v>1</v>
      </c>
    </row>
    <row r="34" ht="15.75" customHeight="1">
      <c r="B34" s="19" t="s">
        <v>144</v>
      </c>
      <c r="C34" s="21" t="str">
        <f>IF(OR($B34="",C$5=""),"",IFERROR(COUNTIFS(Match!$E:$E,C$5,Match!$F:$F,$B34,Match!$H:$H,"W")/COUNTIFS(Match!$E:$E,C$5,Match!$F:$F,$B34),""))</f>
        <v/>
      </c>
      <c r="D34" s="21">
        <f>IF(OR($B34="",D$5=""),"",IFERROR(COUNTIFS(Match!$E:$E,D$5,Match!$F:$F,$B34,Match!$H:$H,"W")/COUNTIFS(Match!$E:$E,D$5,Match!$F:$F,$B34),""))</f>
        <v>0</v>
      </c>
      <c r="E34" s="21" t="str">
        <f>IF(OR($B34="",E$5=""),"",IFERROR(COUNTIFS(Match!$E:$E,E$5,Match!$F:$F,$B34,Match!$H:$H,"W")/COUNTIFS(Match!$E:$E,E$5,Match!$F:$F,$B34),""))</f>
        <v/>
      </c>
      <c r="F34" s="21" t="str">
        <f>IF(OR($B34="",F$5=""),"",IFERROR(COUNTIFS(Match!$E:$E,F$5,Match!$F:$F,$B34,Match!$H:$H,"W")/COUNTIFS(Match!$E:$E,F$5,Match!$F:$F,$B34),""))</f>
        <v/>
      </c>
      <c r="G34" s="21" t="str">
        <f>IF(OR($B34="",G$5=""),"",IFERROR(COUNTIFS(Match!$E:$E,G$5,Match!$F:$F,$B34,Match!$H:$H,"W")/COUNTIFS(Match!$E:$E,G$5,Match!$F:$F,$B34),""))</f>
        <v/>
      </c>
      <c r="H34" s="21" t="str">
        <f>IF(OR($B34="",H$5=""),"",IFERROR(COUNTIFS(Match!$E:$E,H$5,Match!$F:$F,$B34,Match!$H:$H,"W")/COUNTIFS(Match!$E:$E,H$5,Match!$F:$F,$B34),""))</f>
        <v/>
      </c>
      <c r="I34" s="21" t="str">
        <f>IF(OR($B34="",I$5=""),"",IFERROR(COUNTIFS(Match!$E:$E,I$5,Match!$F:$F,$B34,Match!$H:$H,"W")/COUNTIFS(Match!$E:$E,I$5,Match!$F:$F,$B34),""))</f>
        <v/>
      </c>
      <c r="J34" s="21" t="str">
        <f>IF(OR($B34="",J$5=""),"",IFERROR(COUNTIFS(Match!$E:$E,J$5,Match!$F:$F,$B34,Match!$H:$H,"W")/COUNTIFS(Match!$E:$E,J$5,Match!$F:$F,$B34),""))</f>
        <v/>
      </c>
      <c r="K34" s="28">
        <f>IF($B34="","",IFERROR(COUNTIFS(Match!$F:$F,$B34,Match!$H:$H,"W")/COUNTIFS(Match!$F:$F,$B34),""))</f>
        <v>0</v>
      </c>
      <c r="L34" s="19" t="str">
        <f t="shared" si="2"/>
        <v>Archaludon ex</v>
      </c>
      <c r="M34" s="29">
        <f>IF(OR($B34="",C$5=""),"",COUNTIFS(Match!$E:$E,C$5,Match!$F:$F,$B34))</f>
        <v>0</v>
      </c>
      <c r="N34" s="29">
        <f>IF(OR($B34="",D$5=""),"",COUNTIFS(Match!$E:$E,D$5,Match!$F:$F,$B34))</f>
        <v>1</v>
      </c>
      <c r="O34" s="29">
        <f>IF(OR($B34="",E$5=""),"",COUNTIFS(Match!$E:$E,E$5,Match!$F:$F,$B34))</f>
        <v>0</v>
      </c>
      <c r="P34" s="29">
        <f>IF(OR($B34="",F$5=""),"",COUNTIFS(Match!$E:$E,F$5,Match!$F:$F,$B34))</f>
        <v>0</v>
      </c>
      <c r="Q34" s="29">
        <f>IF(OR($B34="",G$5=""),"",COUNTIFS(Match!$E:$E,G$5,Match!$F:$F,$B34))</f>
        <v>0</v>
      </c>
      <c r="R34" s="29">
        <f>IF(OR($B34="",H$5=""),"",COUNTIFS(Match!$E:$E,H$5,Match!$F:$F,$B34))</f>
        <v>0</v>
      </c>
      <c r="S34" s="29">
        <f>IF(OR($B34="",I$5=""),"",COUNTIFS(Match!$E:$E,I$5,Match!$F:$F,$B34))</f>
        <v>0</v>
      </c>
      <c r="T34" s="29">
        <f>IF(OR($B34="",J$5=""),"",COUNTIFS(Match!$E:$E,J$5,Match!$F:$F,$B34))</f>
        <v>0</v>
      </c>
      <c r="U34" s="37">
        <f>IF($B34="","",COUNTIFS(Match!$F:$F,$B34))</f>
        <v>1</v>
      </c>
    </row>
    <row r="35" ht="15.75" customHeight="1">
      <c r="B35" s="19" t="s">
        <v>148</v>
      </c>
      <c r="C35" s="21" t="str">
        <f>IF(OR($B35="",C$5=""),"",IFERROR(COUNTIFS(Match!$E:$E,C$5,Match!$F:$F,$B35,Match!$H:$H,"W")/COUNTIFS(Match!$E:$E,C$5,Match!$F:$F,$B35),""))</f>
        <v/>
      </c>
      <c r="D35" s="21" t="str">
        <f>IF(OR($B35="",D$5=""),"",IFERROR(COUNTIFS(Match!$E:$E,D$5,Match!$F:$F,$B35,Match!$H:$H,"W")/COUNTIFS(Match!$E:$E,D$5,Match!$F:$F,$B35),""))</f>
        <v/>
      </c>
      <c r="E35" s="21" t="str">
        <f>IF(OR($B35="",E$5=""),"",IFERROR(COUNTIFS(Match!$E:$E,E$5,Match!$F:$F,$B35,Match!$H:$H,"W")/COUNTIFS(Match!$E:$E,E$5,Match!$F:$F,$B35),""))</f>
        <v/>
      </c>
      <c r="F35" s="21">
        <f>IF(OR($B35="",F$5=""),"",IFERROR(COUNTIFS(Match!$E:$E,F$5,Match!$F:$F,$B35,Match!$H:$H,"W")/COUNTIFS(Match!$E:$E,F$5,Match!$F:$F,$B35),""))</f>
        <v>0</v>
      </c>
      <c r="G35" s="21" t="str">
        <f>IF(OR($B35="",G$5=""),"",IFERROR(COUNTIFS(Match!$E:$E,G$5,Match!$F:$F,$B35,Match!$H:$H,"W")/COUNTIFS(Match!$E:$E,G$5,Match!$F:$F,$B35),""))</f>
        <v/>
      </c>
      <c r="H35" s="21" t="str">
        <f>IF(OR($B35="",H$5=""),"",IFERROR(COUNTIFS(Match!$E:$E,H$5,Match!$F:$F,$B35,Match!$H:$H,"W")/COUNTIFS(Match!$E:$E,H$5,Match!$F:$F,$B35),""))</f>
        <v/>
      </c>
      <c r="I35" s="21" t="str">
        <f>IF(OR($B35="",I$5=""),"",IFERROR(COUNTIFS(Match!$E:$E,I$5,Match!$F:$F,$B35,Match!$H:$H,"W")/COUNTIFS(Match!$E:$E,I$5,Match!$F:$F,$B35),""))</f>
        <v/>
      </c>
      <c r="J35" s="21" t="str">
        <f>IF(OR($B35="",J$5=""),"",IFERROR(COUNTIFS(Match!$E:$E,J$5,Match!$F:$F,$B35,Match!$H:$H,"W")/COUNTIFS(Match!$E:$E,J$5,Match!$F:$F,$B35),""))</f>
        <v/>
      </c>
      <c r="K35" s="28">
        <f>IF($B35="","",IFERROR(COUNTIFS(Match!$F:$F,$B35,Match!$H:$H,"W")/COUNTIFS(Match!$F:$F,$B35),""))</f>
        <v>0</v>
      </c>
      <c r="L35" s="19" t="str">
        <f t="shared" si="2"/>
        <v>Hydraigon ex</v>
      </c>
      <c r="M35" s="29">
        <f>IF(OR($B35="",C$5=""),"",COUNTIFS(Match!$E:$E,C$5,Match!$F:$F,$B35))</f>
        <v>0</v>
      </c>
      <c r="N35" s="29">
        <f>IF(OR($B35="",D$5=""),"",COUNTIFS(Match!$E:$E,D$5,Match!$F:$F,$B35))</f>
        <v>0</v>
      </c>
      <c r="O35" s="29">
        <f>IF(OR($B35="",E$5=""),"",COUNTIFS(Match!$E:$E,E$5,Match!$F:$F,$B35))</f>
        <v>0</v>
      </c>
      <c r="P35" s="29">
        <f>IF(OR($B35="",F$5=""),"",COUNTIFS(Match!$E:$E,F$5,Match!$F:$F,$B35))</f>
        <v>1</v>
      </c>
      <c r="Q35" s="29">
        <f>IF(OR($B35="",G$5=""),"",COUNTIFS(Match!$E:$E,G$5,Match!$F:$F,$B35))</f>
        <v>0</v>
      </c>
      <c r="R35" s="29">
        <f>IF(OR($B35="",H$5=""),"",COUNTIFS(Match!$E:$E,H$5,Match!$F:$F,$B35))</f>
        <v>0</v>
      </c>
      <c r="S35" s="29">
        <f>IF(OR($B35="",I$5=""),"",COUNTIFS(Match!$E:$E,I$5,Match!$F:$F,$B35))</f>
        <v>0</v>
      </c>
      <c r="T35" s="29">
        <f>IF(OR($B35="",J$5=""),"",COUNTIFS(Match!$E:$E,J$5,Match!$F:$F,$B35))</f>
        <v>0</v>
      </c>
      <c r="U35" s="37">
        <f>IF($B35="","",COUNTIFS(Match!$F:$F,$B35))</f>
        <v>1</v>
      </c>
    </row>
    <row r="36" ht="15.75" customHeight="1">
      <c r="B36" s="19" t="s">
        <v>149</v>
      </c>
      <c r="C36" s="21" t="str">
        <f>IF(OR($B36="",C$5=""),"",IFERROR(COUNTIFS(Match!$E:$E,C$5,Match!$F:$F,$B36,Match!$H:$H,"W")/COUNTIFS(Match!$E:$E,C$5,Match!$F:$F,$B36),""))</f>
        <v/>
      </c>
      <c r="D36" s="21" t="str">
        <f>IF(OR($B36="",D$5=""),"",IFERROR(COUNTIFS(Match!$E:$E,D$5,Match!$F:$F,$B36,Match!$H:$H,"W")/COUNTIFS(Match!$E:$E,D$5,Match!$F:$F,$B36),""))</f>
        <v/>
      </c>
      <c r="E36" s="21" t="str">
        <f>IF(OR($B36="",E$5=""),"",IFERROR(COUNTIFS(Match!$E:$E,E$5,Match!$F:$F,$B36,Match!$H:$H,"W")/COUNTIFS(Match!$E:$E,E$5,Match!$F:$F,$B36),""))</f>
        <v/>
      </c>
      <c r="F36" s="21">
        <f>IF(OR($B36="",F$5=""),"",IFERROR(COUNTIFS(Match!$E:$E,F$5,Match!$F:$F,$B36,Match!$H:$H,"W")/COUNTIFS(Match!$E:$E,F$5,Match!$F:$F,$B36),""))</f>
        <v>0</v>
      </c>
      <c r="G36" s="21" t="str">
        <f>IF(OR($B36="",G$5=""),"",IFERROR(COUNTIFS(Match!$E:$E,G$5,Match!$F:$F,$B36,Match!$H:$H,"W")/COUNTIFS(Match!$E:$E,G$5,Match!$F:$F,$B36),""))</f>
        <v/>
      </c>
      <c r="H36" s="21" t="str">
        <f>IF(OR($B36="",H$5=""),"",IFERROR(COUNTIFS(Match!$E:$E,H$5,Match!$F:$F,$B36,Match!$H:$H,"W")/COUNTIFS(Match!$E:$E,H$5,Match!$F:$F,$B36),""))</f>
        <v/>
      </c>
      <c r="I36" s="21" t="str">
        <f>IF(OR($B36="",I$5=""),"",IFERROR(COUNTIFS(Match!$E:$E,I$5,Match!$F:$F,$B36,Match!$H:$H,"W")/COUNTIFS(Match!$E:$E,I$5,Match!$F:$F,$B36),""))</f>
        <v/>
      </c>
      <c r="J36" s="21" t="str">
        <f>IF(OR($B36="",J$5=""),"",IFERROR(COUNTIFS(Match!$E:$E,J$5,Match!$F:$F,$B36,Match!$H:$H,"W")/COUNTIFS(Match!$E:$E,J$5,Match!$F:$F,$B36),""))</f>
        <v/>
      </c>
      <c r="K36" s="28">
        <f>IF($B36="","",IFERROR(COUNTIFS(Match!$F:$F,$B36,Match!$H:$H,"W")/COUNTIFS(Match!$F:$F,$B36),""))</f>
        <v>0</v>
      </c>
      <c r="L36" s="19" t="str">
        <f t="shared" si="2"/>
        <v>Doublade</v>
      </c>
      <c r="M36" s="29">
        <f>IF(OR($B36="",C$5=""),"",COUNTIFS(Match!$E:$E,C$5,Match!$F:$F,$B36))</f>
        <v>0</v>
      </c>
      <c r="N36" s="29">
        <f>IF(OR($B36="",D$5=""),"",COUNTIFS(Match!$E:$E,D$5,Match!$F:$F,$B36))</f>
        <v>0</v>
      </c>
      <c r="O36" s="29">
        <f>IF(OR($B36="",E$5=""),"",COUNTIFS(Match!$E:$E,E$5,Match!$F:$F,$B36))</f>
        <v>0</v>
      </c>
      <c r="P36" s="29">
        <f>IF(OR($B36="",F$5=""),"",COUNTIFS(Match!$E:$E,F$5,Match!$F:$F,$B36))</f>
        <v>1</v>
      </c>
      <c r="Q36" s="29">
        <f>IF(OR($B36="",G$5=""),"",COUNTIFS(Match!$E:$E,G$5,Match!$F:$F,$B36))</f>
        <v>0</v>
      </c>
      <c r="R36" s="29">
        <f>IF(OR($B36="",H$5=""),"",COUNTIFS(Match!$E:$E,H$5,Match!$F:$F,$B36))</f>
        <v>0</v>
      </c>
      <c r="S36" s="29">
        <f>IF(OR($B36="",I$5=""),"",COUNTIFS(Match!$E:$E,I$5,Match!$F:$F,$B36))</f>
        <v>0</v>
      </c>
      <c r="T36" s="29">
        <f>IF(OR($B36="",J$5=""),"",COUNTIFS(Match!$E:$E,J$5,Match!$F:$F,$B36))</f>
        <v>0</v>
      </c>
      <c r="U36" s="37">
        <f>IF($B36="","",COUNTIFS(Match!$F:$F,$B36))</f>
        <v>1</v>
      </c>
    </row>
    <row r="37" ht="15.75" customHeight="1">
      <c r="B37" s="19" t="s">
        <v>158</v>
      </c>
      <c r="C37" s="21" t="str">
        <f>IF(OR($B37="",C$5=""),"",IFERROR(COUNTIFS(Match!$E:$E,C$5,Match!$F:$F,$B37,Match!$H:$H,"W")/COUNTIFS(Match!$E:$E,C$5,Match!$F:$F,$B37),""))</f>
        <v/>
      </c>
      <c r="D37" s="21" t="str">
        <f>IF(OR($B37="",D$5=""),"",IFERROR(COUNTIFS(Match!$E:$E,D$5,Match!$F:$F,$B37,Match!$H:$H,"W")/COUNTIFS(Match!$E:$E,D$5,Match!$F:$F,$B37),""))</f>
        <v/>
      </c>
      <c r="E37" s="21" t="str">
        <f>IF(OR($B37="",E$5=""),"",IFERROR(COUNTIFS(Match!$E:$E,E$5,Match!$F:$F,$B37,Match!$H:$H,"W")/COUNTIFS(Match!$E:$E,E$5,Match!$F:$F,$B37),""))</f>
        <v/>
      </c>
      <c r="F37" s="21" t="str">
        <f>IF(OR($B37="",F$5=""),"",IFERROR(COUNTIFS(Match!$E:$E,F$5,Match!$F:$F,$B37,Match!$H:$H,"W")/COUNTIFS(Match!$E:$E,F$5,Match!$F:$F,$B37),""))</f>
        <v/>
      </c>
      <c r="G37" s="21" t="str">
        <f>IF(OR($B37="",G$5=""),"",IFERROR(COUNTIFS(Match!$E:$E,G$5,Match!$F:$F,$B37,Match!$H:$H,"W")/COUNTIFS(Match!$E:$E,G$5,Match!$F:$F,$B37),""))</f>
        <v/>
      </c>
      <c r="H37" s="21">
        <f>IF(OR($B37="",H$5=""),"",IFERROR(COUNTIFS(Match!$E:$E,H$5,Match!$F:$F,$B37,Match!$H:$H,"W")/COUNTIFS(Match!$E:$E,H$5,Match!$F:$F,$B37),""))</f>
        <v>0</v>
      </c>
      <c r="I37" s="21" t="str">
        <f>IF(OR($B37="",I$5=""),"",IFERROR(COUNTIFS(Match!$E:$E,I$5,Match!$F:$F,$B37,Match!$H:$H,"W")/COUNTIFS(Match!$E:$E,I$5,Match!$F:$F,$B37),""))</f>
        <v/>
      </c>
      <c r="J37" s="21" t="str">
        <f>IF(OR($B37="",J$5=""),"",IFERROR(COUNTIFS(Match!$E:$E,J$5,Match!$F:$F,$B37,Match!$H:$H,"W")/COUNTIFS(Match!$E:$E,J$5,Match!$F:$F,$B37),""))</f>
        <v/>
      </c>
      <c r="K37" s="28">
        <f>IF($B37="","",IFERROR(COUNTIFS(Match!$F:$F,$B37,Match!$H:$H,"W")/COUNTIFS(Match!$F:$F,$B37),""))</f>
        <v>0</v>
      </c>
      <c r="L37" s="19" t="str">
        <f t="shared" si="2"/>
        <v>Clafairy ex</v>
      </c>
      <c r="M37" s="29">
        <f>IF(OR($B37="",C$5=""),"",COUNTIFS(Match!$E:$E,C$5,Match!$F:$F,$B37))</f>
        <v>0</v>
      </c>
      <c r="N37" s="29">
        <f>IF(OR($B37="",D$5=""),"",COUNTIFS(Match!$E:$E,D$5,Match!$F:$F,$B37))</f>
        <v>0</v>
      </c>
      <c r="O37" s="29">
        <f>IF(OR($B37="",E$5=""),"",COUNTIFS(Match!$E:$E,E$5,Match!$F:$F,$B37))</f>
        <v>0</v>
      </c>
      <c r="P37" s="29">
        <f>IF(OR($B37="",F$5=""),"",COUNTIFS(Match!$E:$E,F$5,Match!$F:$F,$B37))</f>
        <v>0</v>
      </c>
      <c r="Q37" s="29">
        <f>IF(OR($B37="",G$5=""),"",COUNTIFS(Match!$E:$E,G$5,Match!$F:$F,$B37))</f>
        <v>0</v>
      </c>
      <c r="R37" s="29">
        <f>IF(OR($B37="",H$5=""),"",COUNTIFS(Match!$E:$E,H$5,Match!$F:$F,$B37))</f>
        <v>1</v>
      </c>
      <c r="S37" s="29">
        <f>IF(OR($B37="",I$5=""),"",COUNTIFS(Match!$E:$E,I$5,Match!$F:$F,$B37))</f>
        <v>0</v>
      </c>
      <c r="T37" s="29">
        <f>IF(OR($B37="",J$5=""),"",COUNTIFS(Match!$E:$E,J$5,Match!$F:$F,$B37))</f>
        <v>0</v>
      </c>
      <c r="U37" s="37">
        <f>IF($B37="","",COUNTIFS(Match!$F:$F,$B37))</f>
        <v>1</v>
      </c>
    </row>
    <row r="38" ht="15.75" customHeight="1">
      <c r="B38" s="53" t="s">
        <v>160</v>
      </c>
      <c r="C38" s="21" t="str">
        <f>IF(OR($B38="",C$5=""),"",IFERROR(COUNTIFS(Match!$E:$E,C$5,Match!$F:$F,$B38,Match!$H:$H,"W")/COUNTIFS(Match!$E:$E,C$5,Match!$F:$F,$B38),""))</f>
        <v/>
      </c>
      <c r="D38" s="21" t="str">
        <f>IF(OR($B38="",D$5=""),"",IFERROR(COUNTIFS(Match!$E:$E,D$5,Match!$F:$F,$B38,Match!$H:$H,"W")/COUNTIFS(Match!$E:$E,D$5,Match!$F:$F,$B38),""))</f>
        <v/>
      </c>
      <c r="E38" s="21" t="str">
        <f>IF(OR($B38="",E$5=""),"",IFERROR(COUNTIFS(Match!$E:$E,E$5,Match!$F:$F,$B38,Match!$H:$H,"W")/COUNTIFS(Match!$E:$E,E$5,Match!$F:$F,$B38),""))</f>
        <v/>
      </c>
      <c r="F38" s="21" t="str">
        <f>IF(OR($B38="",F$5=""),"",IFERROR(COUNTIFS(Match!$E:$E,F$5,Match!$F:$F,$B38,Match!$H:$H,"W")/COUNTIFS(Match!$E:$E,F$5,Match!$F:$F,$B38),""))</f>
        <v/>
      </c>
      <c r="G38" s="21" t="str">
        <f>IF(OR($B38="",G$5=""),"",IFERROR(COUNTIFS(Match!$E:$E,G$5,Match!$F:$F,$B38,Match!$H:$H,"W")/COUNTIFS(Match!$E:$E,G$5,Match!$F:$F,$B38),""))</f>
        <v/>
      </c>
      <c r="H38" s="21">
        <f>IF(OR($B38="",H$5=""),"",IFERROR(COUNTIFS(Match!$E:$E,H$5,Match!$F:$F,$B38,Match!$H:$H,"W")/COUNTIFS(Match!$E:$E,H$5,Match!$F:$F,$B38),""))</f>
        <v>1</v>
      </c>
      <c r="I38" s="21">
        <f>IF(OR($B38="",I$5=""),"",IFERROR(COUNTIFS(Match!$E:$E,I$5,Match!$F:$F,$B38,Match!$H:$H,"W")/COUNTIFS(Match!$E:$E,I$5,Match!$F:$F,$B38),""))</f>
        <v>0</v>
      </c>
      <c r="J38" s="21" t="str">
        <f>IF(OR($B38="",J$5=""),"",IFERROR(COUNTIFS(Match!$E:$E,J$5,Match!$F:$F,$B38,Match!$H:$H,"W")/COUNTIFS(Match!$E:$E,J$5,Match!$F:$F,$B38),""))</f>
        <v/>
      </c>
      <c r="K38" s="28">
        <f>IF($B38="","",IFERROR(COUNTIFS(Match!$F:$F,$B38,Match!$H:$H,"W")/COUNTIFS(Match!$F:$F,$B38),""))</f>
        <v>0.5</v>
      </c>
      <c r="L38" s="19" t="str">
        <f t="shared" si="2"/>
        <v>MegaLopunny ex</v>
      </c>
      <c r="M38" s="29">
        <f>IF(OR($B38="",C$5=""),"",COUNTIFS(Match!$E:$E,C$5,Match!$F:$F,$B38))</f>
        <v>0</v>
      </c>
      <c r="N38" s="29">
        <f>IF(OR($B38="",D$5=""),"",COUNTIFS(Match!$E:$E,D$5,Match!$F:$F,$B38))</f>
        <v>0</v>
      </c>
      <c r="O38" s="29">
        <f>IF(OR($B38="",E$5=""),"",COUNTIFS(Match!$E:$E,E$5,Match!$F:$F,$B38))</f>
        <v>0</v>
      </c>
      <c r="P38" s="29">
        <f>IF(OR($B38="",F$5=""),"",COUNTIFS(Match!$E:$E,F$5,Match!$F:$F,$B38))</f>
        <v>0</v>
      </c>
      <c r="Q38" s="29">
        <f>IF(OR($B38="",G$5=""),"",COUNTIFS(Match!$E:$E,G$5,Match!$F:$F,$B38))</f>
        <v>0</v>
      </c>
      <c r="R38" s="29">
        <f>IF(OR($B38="",H$5=""),"",COUNTIFS(Match!$E:$E,H$5,Match!$F:$F,$B38))</f>
        <v>1</v>
      </c>
      <c r="S38" s="29">
        <f>IF(OR($B38="",I$5=""),"",COUNTIFS(Match!$E:$E,I$5,Match!$F:$F,$B38))</f>
        <v>1</v>
      </c>
      <c r="T38" s="29">
        <f>IF(OR($B38="",J$5=""),"",COUNTIFS(Match!$E:$E,J$5,Match!$F:$F,$B38))</f>
        <v>0</v>
      </c>
      <c r="U38" s="37">
        <f>IF($B38="","",COUNTIFS(Match!$F:$F,$B38))</f>
        <v>2</v>
      </c>
    </row>
    <row r="39" ht="15.75" customHeight="1">
      <c r="B39" s="19" t="s">
        <v>164</v>
      </c>
      <c r="C39" s="21" t="str">
        <f>IF(OR($B39="",C$5=""),"",IFERROR(COUNTIFS(Match!$E:$E,C$5,Match!$F:$F,$B39,Match!$H:$H,"W")/COUNTIFS(Match!$E:$E,C$5,Match!$F:$F,$B39),""))</f>
        <v/>
      </c>
      <c r="D39" s="21" t="str">
        <f>IF(OR($B39="",D$5=""),"",IFERROR(COUNTIFS(Match!$E:$E,D$5,Match!$F:$F,$B39,Match!$H:$H,"W")/COUNTIFS(Match!$E:$E,D$5,Match!$F:$F,$B39),""))</f>
        <v/>
      </c>
      <c r="E39" s="21" t="str">
        <f>IF(OR($B39="",E$5=""),"",IFERROR(COUNTIFS(Match!$E:$E,E$5,Match!$F:$F,$B39,Match!$H:$H,"W")/COUNTIFS(Match!$E:$E,E$5,Match!$F:$F,$B39),""))</f>
        <v/>
      </c>
      <c r="F39" s="21" t="str">
        <f>IF(OR($B39="",F$5=""),"",IFERROR(COUNTIFS(Match!$E:$E,F$5,Match!$F:$F,$B39,Match!$H:$H,"W")/COUNTIFS(Match!$E:$E,F$5,Match!$F:$F,$B39),""))</f>
        <v/>
      </c>
      <c r="G39" s="21" t="str">
        <f>IF(OR($B39="",G$5=""),"",IFERROR(COUNTIFS(Match!$E:$E,G$5,Match!$F:$F,$B39,Match!$H:$H,"W")/COUNTIFS(Match!$E:$E,G$5,Match!$F:$F,$B39),""))</f>
        <v/>
      </c>
      <c r="H39" s="21" t="str">
        <f>IF(OR($B39="",H$5=""),"",IFERROR(COUNTIFS(Match!$E:$E,H$5,Match!$F:$F,$B39,Match!$H:$H,"W")/COUNTIFS(Match!$E:$E,H$5,Match!$F:$F,$B39),""))</f>
        <v/>
      </c>
      <c r="I39" s="21">
        <f>IF(OR($B39="",I$5=""),"",IFERROR(COUNTIFS(Match!$E:$E,I$5,Match!$F:$F,$B39,Match!$H:$H,"W")/COUNTIFS(Match!$E:$E,I$5,Match!$F:$F,$B39),""))</f>
        <v>1</v>
      </c>
      <c r="J39" s="21" t="str">
        <f>IF(OR($B39="",J$5=""),"",IFERROR(COUNTIFS(Match!$E:$E,J$5,Match!$F:$F,$B39,Match!$H:$H,"W")/COUNTIFS(Match!$E:$E,J$5,Match!$F:$F,$B39),""))</f>
        <v/>
      </c>
      <c r="K39" s="28">
        <f>IF($B39="","",IFERROR(COUNTIFS(Match!$F:$F,$B39,Match!$H:$H,"W")/COUNTIFS(Match!$F:$F,$B39),""))</f>
        <v>1</v>
      </c>
      <c r="L39" s="19" t="str">
        <f t="shared" si="2"/>
        <v>Metagross ex</v>
      </c>
      <c r="M39" s="29">
        <f>IF(OR($B39="",C$5=""),"",COUNTIFS(Match!$E:$E,C$5,Match!$F:$F,$B39))</f>
        <v>0</v>
      </c>
      <c r="N39" s="29">
        <f>IF(OR($B39="",D$5=""),"",COUNTIFS(Match!$E:$E,D$5,Match!$F:$F,$B39))</f>
        <v>0</v>
      </c>
      <c r="O39" s="29">
        <f>IF(OR($B39="",E$5=""),"",COUNTIFS(Match!$E:$E,E$5,Match!$F:$F,$B39))</f>
        <v>0</v>
      </c>
      <c r="P39" s="29">
        <f>IF(OR($B39="",F$5=""),"",COUNTIFS(Match!$E:$E,F$5,Match!$F:$F,$B39))</f>
        <v>0</v>
      </c>
      <c r="Q39" s="29">
        <f>IF(OR($B39="",G$5=""),"",COUNTIFS(Match!$E:$E,G$5,Match!$F:$F,$B39))</f>
        <v>0</v>
      </c>
      <c r="R39" s="29">
        <f>IF(OR($B39="",H$5=""),"",COUNTIFS(Match!$E:$E,H$5,Match!$F:$F,$B39))</f>
        <v>0</v>
      </c>
      <c r="S39" s="29">
        <f>IF(OR($B39="",I$5=""),"",COUNTIFS(Match!$E:$E,I$5,Match!$F:$F,$B39))</f>
        <v>1</v>
      </c>
      <c r="T39" s="29">
        <f>IF(OR($B39="",J$5=""),"",COUNTIFS(Match!$E:$E,J$5,Match!$F:$F,$B39))</f>
        <v>0</v>
      </c>
      <c r="U39" s="37">
        <f>IF($B39="","",COUNTIFS(Match!$F:$F,$B39))</f>
        <v>1</v>
      </c>
    </row>
    <row r="40" ht="15.75" customHeight="1">
      <c r="B40" s="19" t="s">
        <v>169</v>
      </c>
      <c r="C40" s="21" t="str">
        <f>IF(OR($B40="",C$5=""),"",IFERROR(COUNTIFS(Match!$E:$E,C$5,Match!$F:$F,$B40,Match!$H:$H,"W")/COUNTIFS(Match!$E:$E,C$5,Match!$F:$F,$B40),""))</f>
        <v/>
      </c>
      <c r="D40" s="21" t="str">
        <f>IF(OR($B40="",D$5=""),"",IFERROR(COUNTIFS(Match!$E:$E,D$5,Match!$F:$F,$B40,Match!$H:$H,"W")/COUNTIFS(Match!$E:$E,D$5,Match!$F:$F,$B40),""))</f>
        <v/>
      </c>
      <c r="E40" s="21" t="str">
        <f>IF(OR($B40="",E$5=""),"",IFERROR(COUNTIFS(Match!$E:$E,E$5,Match!$F:$F,$B40,Match!$H:$H,"W")/COUNTIFS(Match!$E:$E,E$5,Match!$F:$F,$B40),""))</f>
        <v/>
      </c>
      <c r="F40" s="21" t="str">
        <f>IF(OR($B40="",F$5=""),"",IFERROR(COUNTIFS(Match!$E:$E,F$5,Match!$F:$F,$B40,Match!$H:$H,"W")/COUNTIFS(Match!$E:$E,F$5,Match!$F:$F,$B40),""))</f>
        <v/>
      </c>
      <c r="G40" s="21" t="str">
        <f>IF(OR($B40="",G$5=""),"",IFERROR(COUNTIFS(Match!$E:$E,G$5,Match!$F:$F,$B40,Match!$H:$H,"W")/COUNTIFS(Match!$E:$E,G$5,Match!$F:$F,$B40),""))</f>
        <v/>
      </c>
      <c r="H40" s="21" t="str">
        <f>IF(OR($B40="",H$5=""),"",IFERROR(COUNTIFS(Match!$E:$E,H$5,Match!$F:$F,$B40,Match!$H:$H,"W")/COUNTIFS(Match!$E:$E,H$5,Match!$F:$F,$B40),""))</f>
        <v/>
      </c>
      <c r="I40" s="21" t="str">
        <f>IF(OR($B40="",I$5=""),"",IFERROR(COUNTIFS(Match!$E:$E,I$5,Match!$F:$F,$B40,Match!$H:$H,"W")/COUNTIFS(Match!$E:$E,I$5,Match!$F:$F,$B40),""))</f>
        <v/>
      </c>
      <c r="J40" s="21">
        <f>IF(OR($B40="",J$5=""),"",IFERROR(COUNTIFS(Match!$E:$E,J$5,Match!$F:$F,$B40,Match!$H:$H,"W")/COUNTIFS(Match!$E:$E,J$5,Match!$F:$F,$B40),""))</f>
        <v>1</v>
      </c>
      <c r="K40" s="28">
        <f>IF($B40="","",IFERROR(COUNTIFS(Match!$F:$F,$B40,Match!$H:$H,"W")/COUNTIFS(Match!$F:$F,$B40),""))</f>
        <v>1</v>
      </c>
      <c r="L40" s="19" t="str">
        <f t="shared" si="2"/>
        <v>MegaKangaskhan ex Bouffalant</v>
      </c>
      <c r="M40" s="29">
        <f>IF(OR($B40="",C$5=""),"",COUNTIFS(Match!$E:$E,C$5,Match!$F:$F,$B40))</f>
        <v>0</v>
      </c>
      <c r="N40" s="29">
        <f>IF(OR($B40="",D$5=""),"",COUNTIFS(Match!$E:$E,D$5,Match!$F:$F,$B40))</f>
        <v>0</v>
      </c>
      <c r="O40" s="29">
        <f>IF(OR($B40="",E$5=""),"",COUNTIFS(Match!$E:$E,E$5,Match!$F:$F,$B40))</f>
        <v>0</v>
      </c>
      <c r="P40" s="29">
        <f>IF(OR($B40="",F$5=""),"",COUNTIFS(Match!$E:$E,F$5,Match!$F:$F,$B40))</f>
        <v>0</v>
      </c>
      <c r="Q40" s="29">
        <f>IF(OR($B40="",G$5=""),"",COUNTIFS(Match!$E:$E,G$5,Match!$F:$F,$B40))</f>
        <v>0</v>
      </c>
      <c r="R40" s="29">
        <f>IF(OR($B40="",H$5=""),"",COUNTIFS(Match!$E:$E,H$5,Match!$F:$F,$B40))</f>
        <v>0</v>
      </c>
      <c r="S40" s="29">
        <f>IF(OR($B40="",I$5=""),"",COUNTIFS(Match!$E:$E,I$5,Match!$F:$F,$B40))</f>
        <v>0</v>
      </c>
      <c r="T40" s="29">
        <f>IF(OR($B40="",J$5=""),"",COUNTIFS(Match!$E:$E,J$5,Match!$F:$F,$B40))</f>
        <v>1</v>
      </c>
      <c r="U40" s="37">
        <f>IF($B40="","",COUNTIFS(Match!$F:$F,$B40))</f>
        <v>1</v>
      </c>
    </row>
    <row r="41" ht="15.75" customHeight="1">
      <c r="B41" s="19"/>
      <c r="C41" s="21" t="str">
        <f>IF(OR($B41="",C$5=""),"",IFERROR(COUNTIFS(Match!$E:$E,C$5,Match!$F:$F,$B41,Match!$H:$H,"W")/COUNTIFS(Match!$E:$E,C$5,Match!$F:$F,$B41),""))</f>
        <v/>
      </c>
      <c r="D41" s="21" t="str">
        <f>IF(OR($B41="",D$5=""),"",IFERROR(COUNTIFS(Match!$E:$E,D$5,Match!$F:$F,$B41,Match!$H:$H,"W")/COUNTIFS(Match!$E:$E,D$5,Match!$F:$F,$B41),""))</f>
        <v/>
      </c>
      <c r="E41" s="21" t="str">
        <f>IF(OR($B41="",E$5=""),"",IFERROR(COUNTIFS(Match!$E:$E,E$5,Match!$F:$F,$B41,Match!$H:$H,"W")/COUNTIFS(Match!$E:$E,E$5,Match!$F:$F,$B41),""))</f>
        <v/>
      </c>
      <c r="F41" s="21" t="str">
        <f>IF(OR($B41="",F$5=""),"",IFERROR(COUNTIFS(Match!$E:$E,F$5,Match!$F:$F,$B41,Match!$H:$H,"W")/COUNTIFS(Match!$E:$E,F$5,Match!$F:$F,$B41),""))</f>
        <v/>
      </c>
      <c r="G41" s="21" t="str">
        <f>IF(OR($B41="",G$5=""),"",IFERROR(COUNTIFS(Match!$E:$E,G$5,Match!$F:$F,$B41,Match!$H:$H,"W")/COUNTIFS(Match!$E:$E,G$5,Match!$F:$F,$B41),""))</f>
        <v/>
      </c>
      <c r="H41" s="21" t="str">
        <f>IF(OR($B41="",H$5=""),"",IFERROR(COUNTIFS(Match!$E:$E,H$5,Match!$F:$F,$B41,Match!$H:$H,"W")/COUNTIFS(Match!$E:$E,H$5,Match!$F:$F,$B41),""))</f>
        <v/>
      </c>
      <c r="I41" s="21" t="str">
        <f>IF(OR($B41="",I$5=""),"",IFERROR(COUNTIFS(Match!$E:$E,I$5,Match!$F:$F,$B41,Match!$H:$H,"W")/COUNTIFS(Match!$E:$E,I$5,Match!$F:$F,$B41),""))</f>
        <v/>
      </c>
      <c r="J41" s="21" t="str">
        <f>IF(OR($B41="",J$5=""),"",IFERROR(COUNTIFS(Match!$E:$E,J$5,Match!$F:$F,$B41,Match!$H:$H,"W")/COUNTIFS(Match!$E:$E,J$5,Match!$F:$F,$B41),""))</f>
        <v/>
      </c>
      <c r="K41" s="28" t="str">
        <f>IF($B41="","",IFERROR(COUNTIFS(Match!$F:$F,$B41,Match!$H:$H,"W")/COUNTIFS(Match!$F:$F,$B41),""))</f>
        <v/>
      </c>
      <c r="L41" s="19" t="str">
        <f t="shared" si="2"/>
        <v/>
      </c>
      <c r="M41" s="29" t="str">
        <f>IF(OR($B41="",C$5=""),"",COUNTIFS(Match!$E:$E,C$5,Match!$F:$F,$B41))</f>
        <v/>
      </c>
      <c r="N41" s="29" t="str">
        <f>IF(OR($B41="",D$5=""),"",COUNTIFS(Match!$E:$E,D$5,Match!$F:$F,$B41))</f>
        <v/>
      </c>
      <c r="O41" s="29" t="str">
        <f>IF(OR($B41="",E$5=""),"",COUNTIFS(Match!$E:$E,E$5,Match!$F:$F,$B41))</f>
        <v/>
      </c>
      <c r="P41" s="29" t="str">
        <f>IF(OR($B41="",F$5=""),"",COUNTIFS(Match!$E:$E,F$5,Match!$F:$F,$B41))</f>
        <v/>
      </c>
      <c r="Q41" s="29" t="str">
        <f>IF(OR($B41="",G$5=""),"",COUNTIFS(Match!$E:$E,G$5,Match!$F:$F,$B41))</f>
        <v/>
      </c>
      <c r="R41" s="29" t="str">
        <f>IF(OR($B41="",H$5=""),"",COUNTIFS(Match!$E:$E,H$5,Match!$F:$F,$B41))</f>
        <v/>
      </c>
      <c r="S41" s="29" t="str">
        <f>IF(OR($B41="",I$5=""),"",COUNTIFS(Match!$E:$E,I$5,Match!$F:$F,$B41))</f>
        <v/>
      </c>
      <c r="T41" s="29" t="str">
        <f>IF(OR($B41="",J$5=""),"",COUNTIFS(Match!$E:$E,J$5,Match!$F:$F,$B41))</f>
        <v/>
      </c>
      <c r="U41" s="37" t="str">
        <f>IF($B41="","",COUNTIFS(Match!$F:$F,$B41))</f>
        <v/>
      </c>
    </row>
    <row r="42" ht="15.75" customHeight="1">
      <c r="B42" s="19"/>
      <c r="C42" s="21" t="str">
        <f>IF(OR($B42="",C$5=""),"",IFERROR(COUNTIFS(Match!$E:$E,C$5,Match!$F:$F,$B42,Match!$H:$H,"W")/COUNTIFS(Match!$E:$E,C$5,Match!$F:$F,$B42),""))</f>
        <v/>
      </c>
      <c r="D42" s="21" t="str">
        <f>IF(OR($B42="",D$5=""),"",IFERROR(COUNTIFS(Match!$E:$E,D$5,Match!$F:$F,$B42,Match!$H:$H,"W")/COUNTIFS(Match!$E:$E,D$5,Match!$F:$F,$B42),""))</f>
        <v/>
      </c>
      <c r="E42" s="21" t="str">
        <f>IF(OR($B42="",E$5=""),"",IFERROR(COUNTIFS(Match!$E:$E,E$5,Match!$F:$F,$B42,Match!$H:$H,"W")/COUNTIFS(Match!$E:$E,E$5,Match!$F:$F,$B42),""))</f>
        <v/>
      </c>
      <c r="F42" s="21" t="str">
        <f>IF(OR($B42="",F$5=""),"",IFERROR(COUNTIFS(Match!$E:$E,F$5,Match!$F:$F,$B42,Match!$H:$H,"W")/COUNTIFS(Match!$E:$E,F$5,Match!$F:$F,$B42),""))</f>
        <v/>
      </c>
      <c r="G42" s="21" t="str">
        <f>IF(OR($B42="",G$5=""),"",IFERROR(COUNTIFS(Match!$E:$E,G$5,Match!$F:$F,$B42,Match!$H:$H,"W")/COUNTIFS(Match!$E:$E,G$5,Match!$F:$F,$B42),""))</f>
        <v/>
      </c>
      <c r="H42" s="21" t="str">
        <f>IF(OR($B42="",H$5=""),"",IFERROR(COUNTIFS(Match!$E:$E,H$5,Match!$F:$F,$B42,Match!$H:$H,"W")/COUNTIFS(Match!$E:$E,H$5,Match!$F:$F,$B42),""))</f>
        <v/>
      </c>
      <c r="I42" s="21" t="str">
        <f>IF(OR($B42="",I$5=""),"",IFERROR(COUNTIFS(Match!$E:$E,I$5,Match!$F:$F,$B42,Match!$H:$H,"W")/COUNTIFS(Match!$E:$E,I$5,Match!$F:$F,$B42),""))</f>
        <v/>
      </c>
      <c r="J42" s="21" t="str">
        <f>IF(OR($B42="",J$5=""),"",IFERROR(COUNTIFS(Match!$E:$E,J$5,Match!$F:$F,$B42,Match!$H:$H,"W")/COUNTIFS(Match!$E:$E,J$5,Match!$F:$F,$B42),""))</f>
        <v/>
      </c>
      <c r="K42" s="28" t="str">
        <f>IF($B42="","",IFERROR(COUNTIFS(Match!$F:$F,$B42,Match!$H:$H,"W")/COUNTIFS(Match!$F:$F,$B42),""))</f>
        <v/>
      </c>
      <c r="L42" s="19" t="str">
        <f t="shared" si="2"/>
        <v/>
      </c>
      <c r="M42" s="29" t="str">
        <f>IF(OR($B42="",C$5=""),"",COUNTIFS(Match!$E:$E,C$5,Match!$F:$F,$B42))</f>
        <v/>
      </c>
      <c r="N42" s="29" t="str">
        <f>IF(OR($B42="",D$5=""),"",COUNTIFS(Match!$E:$E,D$5,Match!$F:$F,$B42))</f>
        <v/>
      </c>
      <c r="O42" s="29" t="str">
        <f>IF(OR($B42="",E$5=""),"",COUNTIFS(Match!$E:$E,E$5,Match!$F:$F,$B42))</f>
        <v/>
      </c>
      <c r="P42" s="29" t="str">
        <f>IF(OR($B42="",F$5=""),"",COUNTIFS(Match!$E:$E,F$5,Match!$F:$F,$B42))</f>
        <v/>
      </c>
      <c r="Q42" s="29" t="str">
        <f>IF(OR($B42="",G$5=""),"",COUNTIFS(Match!$E:$E,G$5,Match!$F:$F,$B42))</f>
        <v/>
      </c>
      <c r="R42" s="29" t="str">
        <f>IF(OR($B42="",H$5=""),"",COUNTIFS(Match!$E:$E,H$5,Match!$F:$F,$B42))</f>
        <v/>
      </c>
      <c r="S42" s="29" t="str">
        <f>IF(OR($B42="",I$5=""),"",COUNTIFS(Match!$E:$E,I$5,Match!$F:$F,$B42))</f>
        <v/>
      </c>
      <c r="T42" s="29" t="str">
        <f>IF(OR($B42="",J$5=""),"",COUNTIFS(Match!$E:$E,J$5,Match!$F:$F,$B42))</f>
        <v/>
      </c>
      <c r="U42" s="37" t="str">
        <f>IF($B42="","",COUNTIFS(Match!$F:$F,$B42))</f>
        <v/>
      </c>
    </row>
    <row r="43" ht="15.75" customHeight="1">
      <c r="B43" s="19"/>
      <c r="C43" s="21" t="str">
        <f>IF(OR($B43="",C$5=""),"",IFERROR(COUNTIFS(Match!$E:$E,C$5,Match!$F:$F,$B43,Match!$H:$H,"W")/COUNTIFS(Match!$E:$E,C$5,Match!$F:$F,$B43),""))</f>
        <v/>
      </c>
      <c r="D43" s="21" t="str">
        <f>IF(OR($B43="",D$5=""),"",IFERROR(COUNTIFS(Match!$E:$E,D$5,Match!$F:$F,$B43,Match!$H:$H,"W")/COUNTIFS(Match!$E:$E,D$5,Match!$F:$F,$B43),""))</f>
        <v/>
      </c>
      <c r="E43" s="21" t="str">
        <f>IF(OR($B43="",E$5=""),"",IFERROR(COUNTIFS(Match!$E:$E,E$5,Match!$F:$F,$B43,Match!$H:$H,"W")/COUNTIFS(Match!$E:$E,E$5,Match!$F:$F,$B43),""))</f>
        <v/>
      </c>
      <c r="F43" s="21" t="str">
        <f>IF(OR($B43="",F$5=""),"",IFERROR(COUNTIFS(Match!$E:$E,F$5,Match!$F:$F,$B43,Match!$H:$H,"W")/COUNTIFS(Match!$E:$E,F$5,Match!$F:$F,$B43),""))</f>
        <v/>
      </c>
      <c r="G43" s="21" t="str">
        <f>IF(OR($B43="",G$5=""),"",IFERROR(COUNTIFS(Match!$E:$E,G$5,Match!$F:$F,$B43,Match!$H:$H,"W")/COUNTIFS(Match!$E:$E,G$5,Match!$F:$F,$B43),""))</f>
        <v/>
      </c>
      <c r="H43" s="21" t="str">
        <f>IF(OR($B43="",H$5=""),"",IFERROR(COUNTIFS(Match!$E:$E,H$5,Match!$F:$F,$B43,Match!$H:$H,"W")/COUNTIFS(Match!$E:$E,H$5,Match!$F:$F,$B43),""))</f>
        <v/>
      </c>
      <c r="I43" s="21" t="str">
        <f>IF(OR($B43="",I$5=""),"",IFERROR(COUNTIFS(Match!$E:$E,I$5,Match!$F:$F,$B43,Match!$H:$H,"W")/COUNTIFS(Match!$E:$E,I$5,Match!$F:$F,$B43),""))</f>
        <v/>
      </c>
      <c r="J43" s="21" t="str">
        <f>IF(OR($B43="",J$5=""),"",IFERROR(COUNTIFS(Match!$E:$E,J$5,Match!$F:$F,$B43,Match!$H:$H,"W")/COUNTIFS(Match!$E:$E,J$5,Match!$F:$F,$B43),""))</f>
        <v/>
      </c>
      <c r="K43" s="28" t="str">
        <f>IF($B43="","",IFERROR(COUNTIFS(Match!$F:$F,$B43,Match!$H:$H,"W")/COUNTIFS(Match!$F:$F,$B43),""))</f>
        <v/>
      </c>
      <c r="L43" s="19" t="str">
        <f t="shared" si="2"/>
        <v/>
      </c>
      <c r="M43" s="29" t="str">
        <f>IF(OR($B43="",C$5=""),"",COUNTIFS(Match!$E:$E,C$5,Match!$F:$F,$B43))</f>
        <v/>
      </c>
      <c r="N43" s="29" t="str">
        <f>IF(OR($B43="",D$5=""),"",COUNTIFS(Match!$E:$E,D$5,Match!$F:$F,$B43))</f>
        <v/>
      </c>
      <c r="O43" s="29" t="str">
        <f>IF(OR($B43="",E$5=""),"",COUNTIFS(Match!$E:$E,E$5,Match!$F:$F,$B43))</f>
        <v/>
      </c>
      <c r="P43" s="29" t="str">
        <f>IF(OR($B43="",F$5=""),"",COUNTIFS(Match!$E:$E,F$5,Match!$F:$F,$B43))</f>
        <v/>
      </c>
      <c r="Q43" s="29" t="str">
        <f>IF(OR($B43="",G$5=""),"",COUNTIFS(Match!$E:$E,G$5,Match!$F:$F,$B43))</f>
        <v/>
      </c>
      <c r="R43" s="29" t="str">
        <f>IF(OR($B43="",H$5=""),"",COUNTIFS(Match!$E:$E,H$5,Match!$F:$F,$B43))</f>
        <v/>
      </c>
      <c r="S43" s="29" t="str">
        <f>IF(OR($B43="",I$5=""),"",COUNTIFS(Match!$E:$E,I$5,Match!$F:$F,$B43))</f>
        <v/>
      </c>
      <c r="T43" s="29" t="str">
        <f>IF(OR($B43="",J$5=""),"",COUNTIFS(Match!$E:$E,J$5,Match!$F:$F,$B43))</f>
        <v/>
      </c>
      <c r="U43" s="37" t="str">
        <f>IF($B43="","",COUNTIFS(Match!$F:$F,$B43))</f>
        <v/>
      </c>
    </row>
    <row r="44" ht="15.75" customHeight="1">
      <c r="B44" s="19"/>
      <c r="C44" s="21" t="str">
        <f>IF(OR($B44="",C$5=""),"",IFERROR(COUNTIFS(Match!$E:$E,C$5,Match!$F:$F,$B44,Match!$H:$H,"W")/COUNTIFS(Match!$E:$E,C$5,Match!$F:$F,$B44),""))</f>
        <v/>
      </c>
      <c r="D44" s="21" t="str">
        <f>IF(OR($B44="",D$5=""),"",IFERROR(COUNTIFS(Match!$E:$E,D$5,Match!$F:$F,$B44,Match!$H:$H,"W")/COUNTIFS(Match!$E:$E,D$5,Match!$F:$F,$B44),""))</f>
        <v/>
      </c>
      <c r="E44" s="21" t="str">
        <f>IF(OR($B44="",E$5=""),"",IFERROR(COUNTIFS(Match!$E:$E,E$5,Match!$F:$F,$B44,Match!$H:$H,"W")/COUNTIFS(Match!$E:$E,E$5,Match!$F:$F,$B44),""))</f>
        <v/>
      </c>
      <c r="F44" s="21" t="str">
        <f>IF(OR($B44="",F$5=""),"",IFERROR(COUNTIFS(Match!$E:$E,F$5,Match!$F:$F,$B44,Match!$H:$H,"W")/COUNTIFS(Match!$E:$E,F$5,Match!$F:$F,$B44),""))</f>
        <v/>
      </c>
      <c r="G44" s="21" t="str">
        <f>IF(OR($B44="",G$5=""),"",IFERROR(COUNTIFS(Match!$E:$E,G$5,Match!$F:$F,$B44,Match!$H:$H,"W")/COUNTIFS(Match!$E:$E,G$5,Match!$F:$F,$B44),""))</f>
        <v/>
      </c>
      <c r="H44" s="21" t="str">
        <f>IF(OR($B44="",H$5=""),"",IFERROR(COUNTIFS(Match!$E:$E,H$5,Match!$F:$F,$B44,Match!$H:$H,"W")/COUNTIFS(Match!$E:$E,H$5,Match!$F:$F,$B44),""))</f>
        <v/>
      </c>
      <c r="I44" s="21" t="str">
        <f>IF(OR($B44="",I$5=""),"",IFERROR(COUNTIFS(Match!$E:$E,I$5,Match!$F:$F,$B44,Match!$H:$H,"W")/COUNTIFS(Match!$E:$E,I$5,Match!$F:$F,$B44),""))</f>
        <v/>
      </c>
      <c r="J44" s="21" t="str">
        <f>IF(OR($B44="",J$5=""),"",IFERROR(COUNTIFS(Match!$E:$E,J$5,Match!$F:$F,$B44,Match!$H:$H,"W")/COUNTIFS(Match!$E:$E,J$5,Match!$F:$F,$B44),""))</f>
        <v/>
      </c>
      <c r="K44" s="28" t="str">
        <f>IF($B44="","",IFERROR(COUNTIFS(Match!$F:$F,$B44,Match!$H:$H,"W")/COUNTIFS(Match!$F:$F,$B44),""))</f>
        <v/>
      </c>
      <c r="L44" s="19" t="str">
        <f t="shared" si="2"/>
        <v/>
      </c>
      <c r="M44" s="29" t="str">
        <f>IF(OR($B44="",C$5=""),"",COUNTIFS(Match!$E:$E,C$5,Match!$F:$F,$B44))</f>
        <v/>
      </c>
      <c r="N44" s="29" t="str">
        <f>IF(OR($B44="",D$5=""),"",COUNTIFS(Match!$E:$E,D$5,Match!$F:$F,$B44))</f>
        <v/>
      </c>
      <c r="O44" s="29" t="str">
        <f>IF(OR($B44="",E$5=""),"",COUNTIFS(Match!$E:$E,E$5,Match!$F:$F,$B44))</f>
        <v/>
      </c>
      <c r="P44" s="29" t="str">
        <f>IF(OR($B44="",F$5=""),"",COUNTIFS(Match!$E:$E,F$5,Match!$F:$F,$B44))</f>
        <v/>
      </c>
      <c r="Q44" s="29" t="str">
        <f>IF(OR($B44="",G$5=""),"",COUNTIFS(Match!$E:$E,G$5,Match!$F:$F,$B44))</f>
        <v/>
      </c>
      <c r="R44" s="29" t="str">
        <f>IF(OR($B44="",H$5=""),"",COUNTIFS(Match!$E:$E,H$5,Match!$F:$F,$B44))</f>
        <v/>
      </c>
      <c r="S44" s="29" t="str">
        <f>IF(OR($B44="",I$5=""),"",COUNTIFS(Match!$E:$E,I$5,Match!$F:$F,$B44))</f>
        <v/>
      </c>
      <c r="T44" s="29" t="str">
        <f>IF(OR($B44="",J$5=""),"",COUNTIFS(Match!$E:$E,J$5,Match!$F:$F,$B44))</f>
        <v/>
      </c>
      <c r="U44" s="37" t="str">
        <f>IF($B44="","",COUNTIFS(Match!$F:$F,$B44))</f>
        <v/>
      </c>
    </row>
    <row r="45" ht="15.75" customHeight="1">
      <c r="B45" s="19"/>
      <c r="C45" s="21" t="str">
        <f>IF(OR($B45="",C$5=""),"",IFERROR(COUNTIFS(Match!$E:$E,C$5,Match!$F:$F,$B45,Match!$H:$H,"W")/COUNTIFS(Match!$E:$E,C$5,Match!$F:$F,$B45),""))</f>
        <v/>
      </c>
      <c r="D45" s="21" t="str">
        <f>IF(OR($B45="",D$5=""),"",IFERROR(COUNTIFS(Match!$E:$E,D$5,Match!$F:$F,$B45,Match!$H:$H,"W")/COUNTIFS(Match!$E:$E,D$5,Match!$F:$F,$B45),""))</f>
        <v/>
      </c>
      <c r="E45" s="21" t="str">
        <f>IF(OR($B45="",E$5=""),"",IFERROR(COUNTIFS(Match!$E:$E,E$5,Match!$F:$F,$B45,Match!$H:$H,"W")/COUNTIFS(Match!$E:$E,E$5,Match!$F:$F,$B45),""))</f>
        <v/>
      </c>
      <c r="F45" s="21" t="str">
        <f>IF(OR($B45="",F$5=""),"",IFERROR(COUNTIFS(Match!$E:$E,F$5,Match!$F:$F,$B45,Match!$H:$H,"W")/COUNTIFS(Match!$E:$E,F$5,Match!$F:$F,$B45),""))</f>
        <v/>
      </c>
      <c r="G45" s="21" t="str">
        <f>IF(OR($B45="",G$5=""),"",IFERROR(COUNTIFS(Match!$E:$E,G$5,Match!$F:$F,$B45,Match!$H:$H,"W")/COUNTIFS(Match!$E:$E,G$5,Match!$F:$F,$B45),""))</f>
        <v/>
      </c>
      <c r="H45" s="21" t="str">
        <f>IF(OR($B45="",H$5=""),"",IFERROR(COUNTIFS(Match!$E:$E,H$5,Match!$F:$F,$B45,Match!$H:$H,"W")/COUNTIFS(Match!$E:$E,H$5,Match!$F:$F,$B45),""))</f>
        <v/>
      </c>
      <c r="I45" s="21" t="str">
        <f>IF(OR($B45="",I$5=""),"",IFERROR(COUNTIFS(Match!$E:$E,I$5,Match!$F:$F,$B45,Match!$H:$H,"W")/COUNTIFS(Match!$E:$E,I$5,Match!$F:$F,$B45),""))</f>
        <v/>
      </c>
      <c r="J45" s="21" t="str">
        <f>IF(OR($B45="",J$5=""),"",IFERROR(COUNTIFS(Match!$E:$E,J$5,Match!$F:$F,$B45,Match!$H:$H,"W")/COUNTIFS(Match!$E:$E,J$5,Match!$F:$F,$B45),""))</f>
        <v/>
      </c>
      <c r="K45" s="28" t="str">
        <f>IF($B45="","",IFERROR(COUNTIFS(Match!$F:$F,$B45,Match!$H:$H,"W")/COUNTIFS(Match!$F:$F,$B45),""))</f>
        <v/>
      </c>
      <c r="L45" s="19" t="str">
        <f t="shared" si="2"/>
        <v/>
      </c>
      <c r="M45" s="29" t="str">
        <f>IF(OR($B45="",C$5=""),"",COUNTIFS(Match!$E:$E,C$5,Match!$F:$F,$B45))</f>
        <v/>
      </c>
      <c r="N45" s="29" t="str">
        <f>IF(OR($B45="",D$5=""),"",COUNTIFS(Match!$E:$E,D$5,Match!$F:$F,$B45))</f>
        <v/>
      </c>
      <c r="O45" s="29" t="str">
        <f>IF(OR($B45="",E$5=""),"",COUNTIFS(Match!$E:$E,E$5,Match!$F:$F,$B45))</f>
        <v/>
      </c>
      <c r="P45" s="29" t="str">
        <f>IF(OR($B45="",F$5=""),"",COUNTIFS(Match!$E:$E,F$5,Match!$F:$F,$B45))</f>
        <v/>
      </c>
      <c r="Q45" s="29" t="str">
        <f>IF(OR($B45="",G$5=""),"",COUNTIFS(Match!$E:$E,G$5,Match!$F:$F,$B45))</f>
        <v/>
      </c>
      <c r="R45" s="29" t="str">
        <f>IF(OR($B45="",H$5=""),"",COUNTIFS(Match!$E:$E,H$5,Match!$F:$F,$B45))</f>
        <v/>
      </c>
      <c r="S45" s="29" t="str">
        <f>IF(OR($B45="",I$5=""),"",COUNTIFS(Match!$E:$E,I$5,Match!$F:$F,$B45))</f>
        <v/>
      </c>
      <c r="T45" s="29" t="str">
        <f>IF(OR($B45="",J$5=""),"",COUNTIFS(Match!$E:$E,J$5,Match!$F:$F,$B45))</f>
        <v/>
      </c>
      <c r="U45" s="37" t="str">
        <f>IF($B45="","",COUNTIFS(Match!$F:$F,$B45))</f>
        <v/>
      </c>
    </row>
    <row r="46" ht="15.75" customHeight="1">
      <c r="B46" s="19"/>
      <c r="C46" s="21" t="str">
        <f>IF(OR($B46="",C$5=""),"",IFERROR(COUNTIFS(Match!$E:$E,C$5,Match!$F:$F,$B46,Match!$H:$H,"W")/COUNTIFS(Match!$E:$E,C$5,Match!$F:$F,$B46),""))</f>
        <v/>
      </c>
      <c r="D46" s="21" t="str">
        <f>IF(OR($B46="",D$5=""),"",IFERROR(COUNTIFS(Match!$E:$E,D$5,Match!$F:$F,$B46,Match!$H:$H,"W")/COUNTIFS(Match!$E:$E,D$5,Match!$F:$F,$B46),""))</f>
        <v/>
      </c>
      <c r="E46" s="21" t="str">
        <f>IF(OR($B46="",E$5=""),"",IFERROR(COUNTIFS(Match!$E:$E,E$5,Match!$F:$F,$B46,Match!$H:$H,"W")/COUNTIFS(Match!$E:$E,E$5,Match!$F:$F,$B46),""))</f>
        <v/>
      </c>
      <c r="F46" s="21" t="str">
        <f>IF(OR($B46="",F$5=""),"",IFERROR(COUNTIFS(Match!$E:$E,F$5,Match!$F:$F,$B46,Match!$H:$H,"W")/COUNTIFS(Match!$E:$E,F$5,Match!$F:$F,$B46),""))</f>
        <v/>
      </c>
      <c r="G46" s="21" t="str">
        <f>IF(OR($B46="",G$5=""),"",IFERROR(COUNTIFS(Match!$E:$E,G$5,Match!$F:$F,$B46,Match!$H:$H,"W")/COUNTIFS(Match!$E:$E,G$5,Match!$F:$F,$B46),""))</f>
        <v/>
      </c>
      <c r="H46" s="21" t="str">
        <f>IF(OR($B46="",H$5=""),"",IFERROR(COUNTIFS(Match!$E:$E,H$5,Match!$F:$F,$B46,Match!$H:$H,"W")/COUNTIFS(Match!$E:$E,H$5,Match!$F:$F,$B46),""))</f>
        <v/>
      </c>
      <c r="I46" s="21" t="str">
        <f>IF(OR($B46="",I$5=""),"",IFERROR(COUNTIFS(Match!$E:$E,I$5,Match!$F:$F,$B46,Match!$H:$H,"W")/COUNTIFS(Match!$E:$E,I$5,Match!$F:$F,$B46),""))</f>
        <v/>
      </c>
      <c r="J46" s="21" t="str">
        <f>IF(OR($B46="",J$5=""),"",IFERROR(COUNTIFS(Match!$E:$E,J$5,Match!$F:$F,$B46,Match!$H:$H,"W")/COUNTIFS(Match!$E:$E,J$5,Match!$F:$F,$B46),""))</f>
        <v/>
      </c>
      <c r="K46" s="28" t="str">
        <f>IF($B46="","",IFERROR(COUNTIFS(Match!$F:$F,$B46,Match!$H:$H,"W")/COUNTIFS(Match!$F:$F,$B46),""))</f>
        <v/>
      </c>
      <c r="L46" s="19" t="str">
        <f t="shared" si="2"/>
        <v/>
      </c>
      <c r="M46" s="29" t="str">
        <f>IF(OR($B46="",C$5=""),"",COUNTIFS(Match!$E:$E,C$5,Match!$F:$F,$B46))</f>
        <v/>
      </c>
      <c r="N46" s="29" t="str">
        <f>IF(OR($B46="",D$5=""),"",COUNTIFS(Match!$E:$E,D$5,Match!$F:$F,$B46))</f>
        <v/>
      </c>
      <c r="O46" s="29" t="str">
        <f>IF(OR($B46="",E$5=""),"",COUNTIFS(Match!$E:$E,E$5,Match!$F:$F,$B46))</f>
        <v/>
      </c>
      <c r="P46" s="29" t="str">
        <f>IF(OR($B46="",F$5=""),"",COUNTIFS(Match!$E:$E,F$5,Match!$F:$F,$B46))</f>
        <v/>
      </c>
      <c r="Q46" s="29" t="str">
        <f>IF(OR($B46="",G$5=""),"",COUNTIFS(Match!$E:$E,G$5,Match!$F:$F,$B46))</f>
        <v/>
      </c>
      <c r="R46" s="29" t="str">
        <f>IF(OR($B46="",H$5=""),"",COUNTIFS(Match!$E:$E,H$5,Match!$F:$F,$B46))</f>
        <v/>
      </c>
      <c r="S46" s="29" t="str">
        <f>IF(OR($B46="",I$5=""),"",COUNTIFS(Match!$E:$E,I$5,Match!$F:$F,$B46))</f>
        <v/>
      </c>
      <c r="T46" s="29" t="str">
        <f>IF(OR($B46="",J$5=""),"",COUNTIFS(Match!$E:$E,J$5,Match!$F:$F,$B46))</f>
        <v/>
      </c>
      <c r="U46" s="37" t="str">
        <f>IF($B46="","",COUNTIFS(Match!$F:$F,$B46))</f>
        <v/>
      </c>
    </row>
    <row r="47" ht="15.75" customHeight="1">
      <c r="B47" s="19"/>
      <c r="C47" s="21" t="str">
        <f>IF(OR($B47="",C$5=""),"",IFERROR(COUNTIFS(Match!$E:$E,C$5,Match!$F:$F,$B47,Match!$H:$H,"W")/COUNTIFS(Match!$E:$E,C$5,Match!$F:$F,$B47),""))</f>
        <v/>
      </c>
      <c r="D47" s="21" t="str">
        <f>IF(OR($B47="",D$5=""),"",IFERROR(COUNTIFS(Match!$E:$E,D$5,Match!$F:$F,$B47,Match!$H:$H,"W")/COUNTIFS(Match!$E:$E,D$5,Match!$F:$F,$B47),""))</f>
        <v/>
      </c>
      <c r="E47" s="21" t="str">
        <f>IF(OR($B47="",E$5=""),"",IFERROR(COUNTIFS(Match!$E:$E,E$5,Match!$F:$F,$B47,Match!$H:$H,"W")/COUNTIFS(Match!$E:$E,E$5,Match!$F:$F,$B47),""))</f>
        <v/>
      </c>
      <c r="F47" s="21" t="str">
        <f>IF(OR($B47="",F$5=""),"",IFERROR(COUNTIFS(Match!$E:$E,F$5,Match!$F:$F,$B47,Match!$H:$H,"W")/COUNTIFS(Match!$E:$E,F$5,Match!$F:$F,$B47),""))</f>
        <v/>
      </c>
      <c r="G47" s="21" t="str">
        <f>IF(OR($B47="",G$5=""),"",IFERROR(COUNTIFS(Match!$E:$E,G$5,Match!$F:$F,$B47,Match!$H:$H,"W")/COUNTIFS(Match!$E:$E,G$5,Match!$F:$F,$B47),""))</f>
        <v/>
      </c>
      <c r="H47" s="21" t="str">
        <f>IF(OR($B47="",H$5=""),"",IFERROR(COUNTIFS(Match!$E:$E,H$5,Match!$F:$F,$B47,Match!$H:$H,"W")/COUNTIFS(Match!$E:$E,H$5,Match!$F:$F,$B47),""))</f>
        <v/>
      </c>
      <c r="I47" s="21" t="str">
        <f>IF(OR($B47="",I$5=""),"",IFERROR(COUNTIFS(Match!$E:$E,I$5,Match!$F:$F,$B47,Match!$H:$H,"W")/COUNTIFS(Match!$E:$E,I$5,Match!$F:$F,$B47),""))</f>
        <v/>
      </c>
      <c r="J47" s="21" t="str">
        <f>IF(OR($B47="",J$5=""),"",IFERROR(COUNTIFS(Match!$E:$E,J$5,Match!$F:$F,$B47,Match!$H:$H,"W")/COUNTIFS(Match!$E:$E,J$5,Match!$F:$F,$B47),""))</f>
        <v/>
      </c>
      <c r="K47" s="28" t="str">
        <f>IF($B47="","",IFERROR(COUNTIFS(Match!$F:$F,$B47,Match!$H:$H,"W")/COUNTIFS(Match!$F:$F,$B47),""))</f>
        <v/>
      </c>
      <c r="L47" s="19" t="str">
        <f t="shared" si="2"/>
        <v/>
      </c>
      <c r="M47" s="29" t="str">
        <f>IF(OR($B47="",C$5=""),"",COUNTIFS(Match!$E:$E,C$5,Match!$F:$F,$B47))</f>
        <v/>
      </c>
      <c r="N47" s="29" t="str">
        <f>IF(OR($B47="",D$5=""),"",COUNTIFS(Match!$E:$E,D$5,Match!$F:$F,$B47))</f>
        <v/>
      </c>
      <c r="O47" s="29" t="str">
        <f>IF(OR($B47="",E$5=""),"",COUNTIFS(Match!$E:$E,E$5,Match!$F:$F,$B47))</f>
        <v/>
      </c>
      <c r="P47" s="29" t="str">
        <f>IF(OR($B47="",F$5=""),"",COUNTIFS(Match!$E:$E,F$5,Match!$F:$F,$B47))</f>
        <v/>
      </c>
      <c r="Q47" s="29" t="str">
        <f>IF(OR($B47="",G$5=""),"",COUNTIFS(Match!$E:$E,G$5,Match!$F:$F,$B47))</f>
        <v/>
      </c>
      <c r="R47" s="29" t="str">
        <f>IF(OR($B47="",H$5=""),"",COUNTIFS(Match!$E:$E,H$5,Match!$F:$F,$B47))</f>
        <v/>
      </c>
      <c r="S47" s="29" t="str">
        <f>IF(OR($B47="",I$5=""),"",COUNTIFS(Match!$E:$E,I$5,Match!$F:$F,$B47))</f>
        <v/>
      </c>
      <c r="T47" s="29" t="str">
        <f>IF(OR($B47="",J$5=""),"",COUNTIFS(Match!$E:$E,J$5,Match!$F:$F,$B47))</f>
        <v/>
      </c>
      <c r="U47" s="37" t="str">
        <f>IF($B47="","",COUNTIFS(Match!$F:$F,$B47))</f>
        <v/>
      </c>
    </row>
    <row r="48" ht="15.75" customHeight="1">
      <c r="B48" s="19"/>
      <c r="C48" s="21" t="str">
        <f>IF(OR($B48="",C$5=""),"",IFERROR(COUNTIFS(Match!$E:$E,C$5,Match!$F:$F,$B48,Match!$H:$H,"W")/COUNTIFS(Match!$E:$E,C$5,Match!$F:$F,$B48),""))</f>
        <v/>
      </c>
      <c r="D48" s="21" t="str">
        <f>IF(OR($B48="",D$5=""),"",IFERROR(COUNTIFS(Match!$E:$E,D$5,Match!$F:$F,$B48,Match!$H:$H,"W")/COUNTIFS(Match!$E:$E,D$5,Match!$F:$F,$B48),""))</f>
        <v/>
      </c>
      <c r="E48" s="21" t="str">
        <f>IF(OR($B48="",E$5=""),"",IFERROR(COUNTIFS(Match!$E:$E,E$5,Match!$F:$F,$B48,Match!$H:$H,"W")/COUNTIFS(Match!$E:$E,E$5,Match!$F:$F,$B48),""))</f>
        <v/>
      </c>
      <c r="F48" s="21" t="str">
        <f>IF(OR($B48="",F$5=""),"",IFERROR(COUNTIFS(Match!$E:$E,F$5,Match!$F:$F,$B48,Match!$H:$H,"W")/COUNTIFS(Match!$E:$E,F$5,Match!$F:$F,$B48),""))</f>
        <v/>
      </c>
      <c r="G48" s="21" t="str">
        <f>IF(OR($B48="",G$5=""),"",IFERROR(COUNTIFS(Match!$E:$E,G$5,Match!$F:$F,$B48,Match!$H:$H,"W")/COUNTIFS(Match!$E:$E,G$5,Match!$F:$F,$B48),""))</f>
        <v/>
      </c>
      <c r="H48" s="21" t="str">
        <f>IF(OR($B48="",H$5=""),"",IFERROR(COUNTIFS(Match!$E:$E,H$5,Match!$F:$F,$B48,Match!$H:$H,"W")/COUNTIFS(Match!$E:$E,H$5,Match!$F:$F,$B48),""))</f>
        <v/>
      </c>
      <c r="I48" s="21" t="str">
        <f>IF(OR($B48="",I$5=""),"",IFERROR(COUNTIFS(Match!$E:$E,I$5,Match!$F:$F,$B48,Match!$H:$H,"W")/COUNTIFS(Match!$E:$E,I$5,Match!$F:$F,$B48),""))</f>
        <v/>
      </c>
      <c r="J48" s="21" t="str">
        <f>IF(OR($B48="",J$5=""),"",IFERROR(COUNTIFS(Match!$E:$E,J$5,Match!$F:$F,$B48,Match!$H:$H,"W")/COUNTIFS(Match!$E:$E,J$5,Match!$F:$F,$B48),""))</f>
        <v/>
      </c>
      <c r="K48" s="28" t="str">
        <f>IF($B48="","",IFERROR(COUNTIFS(Match!$F:$F,$B48,Match!$H:$H,"W")/COUNTIFS(Match!$F:$F,$B48),""))</f>
        <v/>
      </c>
      <c r="L48" s="19" t="str">
        <f t="shared" si="2"/>
        <v/>
      </c>
      <c r="M48" s="29" t="str">
        <f>IF(OR($B48="",C$5=""),"",COUNTIFS(Match!$E:$E,C$5,Match!$F:$F,$B48))</f>
        <v/>
      </c>
      <c r="N48" s="29" t="str">
        <f>IF(OR($B48="",D$5=""),"",COUNTIFS(Match!$E:$E,D$5,Match!$F:$F,$B48))</f>
        <v/>
      </c>
      <c r="O48" s="29" t="str">
        <f>IF(OR($B48="",E$5=""),"",COUNTIFS(Match!$E:$E,E$5,Match!$F:$F,$B48))</f>
        <v/>
      </c>
      <c r="P48" s="29" t="str">
        <f>IF(OR($B48="",F$5=""),"",COUNTIFS(Match!$E:$E,F$5,Match!$F:$F,$B48))</f>
        <v/>
      </c>
      <c r="Q48" s="29" t="str">
        <f>IF(OR($B48="",G$5=""),"",COUNTIFS(Match!$E:$E,G$5,Match!$F:$F,$B48))</f>
        <v/>
      </c>
      <c r="R48" s="29" t="str">
        <f>IF(OR($B48="",H$5=""),"",COUNTIFS(Match!$E:$E,H$5,Match!$F:$F,$B48))</f>
        <v/>
      </c>
      <c r="S48" s="29" t="str">
        <f>IF(OR($B48="",I$5=""),"",COUNTIFS(Match!$E:$E,I$5,Match!$F:$F,$B48))</f>
        <v/>
      </c>
      <c r="T48" s="29" t="str">
        <f>IF(OR($B48="",J$5=""),"",COUNTIFS(Match!$E:$E,J$5,Match!$F:$F,$B48))</f>
        <v/>
      </c>
      <c r="U48" s="37" t="str">
        <f>IF($B48="","",COUNTIFS(Match!$F:$F,$B48))</f>
        <v/>
      </c>
    </row>
    <row r="49" ht="15.75" customHeight="1">
      <c r="B49" s="19"/>
      <c r="C49" s="21" t="str">
        <f>IF(OR($B49="",C$5=""),"",IFERROR(COUNTIFS(Match!$E:$E,C$5,Match!$F:$F,$B49,Match!$H:$H,"W")/COUNTIFS(Match!$E:$E,C$5,Match!$F:$F,$B49),""))</f>
        <v/>
      </c>
      <c r="D49" s="21" t="str">
        <f>IF(OR($B49="",D$5=""),"",IFERROR(COUNTIFS(Match!$E:$E,D$5,Match!$F:$F,$B49,Match!$H:$H,"W")/COUNTIFS(Match!$E:$E,D$5,Match!$F:$F,$B49),""))</f>
        <v/>
      </c>
      <c r="E49" s="21" t="str">
        <f>IF(OR($B49="",E$5=""),"",IFERROR(COUNTIFS(Match!$E:$E,E$5,Match!$F:$F,$B49,Match!$H:$H,"W")/COUNTIFS(Match!$E:$E,E$5,Match!$F:$F,$B49),""))</f>
        <v/>
      </c>
      <c r="F49" s="21" t="str">
        <f>IF(OR($B49="",F$5=""),"",IFERROR(COUNTIFS(Match!$E:$E,F$5,Match!$F:$F,$B49,Match!$H:$H,"W")/COUNTIFS(Match!$E:$E,F$5,Match!$F:$F,$B49),""))</f>
        <v/>
      </c>
      <c r="G49" s="21" t="str">
        <f>IF(OR($B49="",G$5=""),"",IFERROR(COUNTIFS(Match!$E:$E,G$5,Match!$F:$F,$B49,Match!$H:$H,"W")/COUNTIFS(Match!$E:$E,G$5,Match!$F:$F,$B49),""))</f>
        <v/>
      </c>
      <c r="H49" s="21" t="str">
        <f>IF(OR($B49="",H$5=""),"",IFERROR(COUNTIFS(Match!$E:$E,H$5,Match!$F:$F,$B49,Match!$H:$H,"W")/COUNTIFS(Match!$E:$E,H$5,Match!$F:$F,$B49),""))</f>
        <v/>
      </c>
      <c r="I49" s="21" t="str">
        <f>IF(OR($B49="",I$5=""),"",IFERROR(COUNTIFS(Match!$E:$E,I$5,Match!$F:$F,$B49,Match!$H:$H,"W")/COUNTIFS(Match!$E:$E,I$5,Match!$F:$F,$B49),""))</f>
        <v/>
      </c>
      <c r="J49" s="21" t="str">
        <f>IF(OR($B49="",J$5=""),"",IFERROR(COUNTIFS(Match!$E:$E,J$5,Match!$F:$F,$B49,Match!$H:$H,"W")/COUNTIFS(Match!$E:$E,J$5,Match!$F:$F,$B49),""))</f>
        <v/>
      </c>
      <c r="K49" s="28" t="str">
        <f>IF($B49="","",IFERROR(COUNTIFS(Match!$F:$F,$B49,Match!$H:$H,"W")/COUNTIFS(Match!$F:$F,$B49),""))</f>
        <v/>
      </c>
      <c r="L49" s="19" t="str">
        <f t="shared" si="2"/>
        <v/>
      </c>
      <c r="M49" s="29" t="str">
        <f>IF(OR($B49="",C$5=""),"",COUNTIFS(Match!$E:$E,C$5,Match!$F:$F,$B49))</f>
        <v/>
      </c>
      <c r="N49" s="29" t="str">
        <f>IF(OR($B49="",D$5=""),"",COUNTIFS(Match!$E:$E,D$5,Match!$F:$F,$B49))</f>
        <v/>
      </c>
      <c r="O49" s="29" t="str">
        <f>IF(OR($B49="",E$5=""),"",COUNTIFS(Match!$E:$E,E$5,Match!$F:$F,$B49))</f>
        <v/>
      </c>
      <c r="P49" s="29" t="str">
        <f>IF(OR($B49="",F$5=""),"",COUNTIFS(Match!$E:$E,F$5,Match!$F:$F,$B49))</f>
        <v/>
      </c>
      <c r="Q49" s="29" t="str">
        <f>IF(OR($B49="",G$5=""),"",COUNTIFS(Match!$E:$E,G$5,Match!$F:$F,$B49))</f>
        <v/>
      </c>
      <c r="R49" s="29" t="str">
        <f>IF(OR($B49="",H$5=""),"",COUNTIFS(Match!$E:$E,H$5,Match!$F:$F,$B49))</f>
        <v/>
      </c>
      <c r="S49" s="29" t="str">
        <f>IF(OR($B49="",I$5=""),"",COUNTIFS(Match!$E:$E,I$5,Match!$F:$F,$B49))</f>
        <v/>
      </c>
      <c r="T49" s="29" t="str">
        <f>IF(OR($B49="",J$5=""),"",COUNTIFS(Match!$E:$E,J$5,Match!$F:$F,$B49))</f>
        <v/>
      </c>
      <c r="U49" s="37" t="str">
        <f>IF($B49="","",COUNTIFS(Match!$F:$F,$B49))</f>
        <v/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2:K2"/>
    <mergeCell ref="M2:U2"/>
    <mergeCell ref="B3:K3"/>
  </mergeCells>
  <conditionalFormatting sqref="C6:K49">
    <cfRule type="colorScale" priority="1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0"/>
    <col customWidth="1" min="2" max="2" width="24.0"/>
    <col customWidth="1" min="3" max="5" width="12.0"/>
    <col customWidth="1" min="6" max="6" width="14.0"/>
    <col customWidth="1" min="7" max="12" width="12.0"/>
    <col customWidth="1" min="13" max="13" width="8.63"/>
    <col customWidth="1" min="14" max="14" width="11.0"/>
    <col customWidth="1" min="15" max="26" width="8.63"/>
  </cols>
  <sheetData>
    <row r="1">
      <c r="T1" s="31" t="s">
        <v>84</v>
      </c>
    </row>
    <row r="2" ht="31.5" customHeight="1">
      <c r="B2" s="30" t="s">
        <v>85</v>
      </c>
      <c r="C2" s="6"/>
      <c r="D2" s="6"/>
      <c r="E2" s="6"/>
      <c r="F2" s="6"/>
      <c r="G2" s="6"/>
      <c r="H2" s="6"/>
      <c r="I2" s="6"/>
      <c r="J2" s="6"/>
      <c r="K2" s="6"/>
      <c r="L2" s="8"/>
      <c r="N2" s="26"/>
      <c r="T2" s="31" t="s">
        <v>65</v>
      </c>
    </row>
    <row r="3">
      <c r="N3" s="33"/>
    </row>
    <row r="4" ht="15.75" customHeight="1">
      <c r="B4" s="34" t="s">
        <v>87</v>
      </c>
      <c r="C4" s="8"/>
      <c r="F4" s="34" t="s">
        <v>88</v>
      </c>
      <c r="G4" s="6"/>
      <c r="H4" s="6"/>
      <c r="I4" s="6"/>
      <c r="J4" s="8"/>
      <c r="N4" s="26"/>
    </row>
    <row r="5">
      <c r="B5" s="36" t="s">
        <v>89</v>
      </c>
      <c r="C5" s="39">
        <f>COUNTIFS(Match!$D:$D,$T$2)</f>
        <v>31</v>
      </c>
      <c r="F5" s="11" t="s">
        <v>9</v>
      </c>
      <c r="G5" s="11" t="s">
        <v>95</v>
      </c>
      <c r="H5" s="11" t="s">
        <v>96</v>
      </c>
      <c r="I5" s="11" t="s">
        <v>97</v>
      </c>
      <c r="J5" s="11" t="s">
        <v>98</v>
      </c>
      <c r="N5" s="26"/>
    </row>
    <row r="6">
      <c r="B6" s="36" t="s">
        <v>96</v>
      </c>
      <c r="C6" s="39">
        <f>COUNTIFS(Match!$D:$D,$T$2,Match!$H:$H,"W")</f>
        <v>22</v>
      </c>
      <c r="F6" s="19" t="s">
        <v>64</v>
      </c>
      <c r="G6" s="29">
        <f>IF($F6="","",COUNTIFS(Match!$D:$D,$T$2,Match!$C:$C,$F6))</f>
        <v>31</v>
      </c>
      <c r="H6" s="29">
        <f>IF($F6="","",COUNTIFS(Match!$D:$D,$T$2,Match!$C:$C,$F6,Match!$H:$H,"W"))</f>
        <v>22</v>
      </c>
      <c r="I6" s="29">
        <f>IF($F6="","",COUNTIFS(Match!$D:$D,$T$2,Match!$C:$C,$F6,Match!$H:$H,"L"))</f>
        <v>9</v>
      </c>
      <c r="J6" s="40">
        <f t="shared" ref="J6:J11" si="1">IF($F6="","",IFERROR(H6/G6,""))</f>
        <v>0.7096774194</v>
      </c>
      <c r="N6" s="26"/>
    </row>
    <row r="7">
      <c r="B7" s="36" t="s">
        <v>97</v>
      </c>
      <c r="C7" s="39">
        <f>COUNTIFS(Match!$D:$D,$T$2,Match!$H:$H,"L")</f>
        <v>9</v>
      </c>
      <c r="F7" s="19"/>
      <c r="G7" s="29" t="str">
        <f>IF($F7="","",COUNTIFS(Match!$D:$D,$T$2,Match!$C:$C,$F7))</f>
        <v/>
      </c>
      <c r="H7" s="29" t="str">
        <f>IF($F7="","",COUNTIFS(Match!$D:$D,$T$2,Match!$C:$C,$F7,Match!$H:$H,"W"))</f>
        <v/>
      </c>
      <c r="I7" s="29" t="str">
        <f>IF($F7="","",COUNTIFS(Match!$D:$D,$T$2,Match!$C:$C,$F7,Match!$H:$H,"L"))</f>
        <v/>
      </c>
      <c r="J7" s="40" t="str">
        <f t="shared" si="1"/>
        <v/>
      </c>
      <c r="N7" s="26"/>
    </row>
    <row r="8">
      <c r="B8" s="36" t="s">
        <v>108</v>
      </c>
      <c r="C8" s="41">
        <f>IFERROR(C6/C5,"")</f>
        <v>0.7096774194</v>
      </c>
      <c r="F8" s="19"/>
      <c r="G8" s="29" t="str">
        <f>IF($F8="","",COUNTIFS(Match!$D:$D,$T$2,Match!$C:$C,$F8))</f>
        <v/>
      </c>
      <c r="H8" s="29" t="str">
        <f>IF($F8="","",COUNTIFS(Match!$D:$D,$T$2,Match!$C:$C,$F8,Match!$H:$H,"W"))</f>
        <v/>
      </c>
      <c r="I8" s="29" t="str">
        <f>IF($F8="","",COUNTIFS(Match!$D:$D,$T$2,Match!$C:$C,$F8,Match!$H:$H,"L"))</f>
        <v/>
      </c>
      <c r="J8" s="40" t="str">
        <f t="shared" si="1"/>
        <v/>
      </c>
      <c r="N8" s="26"/>
    </row>
    <row r="9">
      <c r="B9" s="36" t="s">
        <v>109</v>
      </c>
      <c r="C9" s="39">
        <f>COUNTIFS(Match!$D:$D,$T$2,Match!$G:$G,1)</f>
        <v>21</v>
      </c>
      <c r="F9" s="19"/>
      <c r="G9" s="29" t="str">
        <f>IF($F9="","",COUNTIFS(Match!$D:$D,$T$2,Match!$C:$C,$F9))</f>
        <v/>
      </c>
      <c r="H9" s="29" t="str">
        <f>IF($F9="","",COUNTIFS(Match!$D:$D,$T$2,Match!$C:$C,$F9,Match!$H:$H,"W"))</f>
        <v/>
      </c>
      <c r="I9" s="29" t="str">
        <f>IF($F9="","",COUNTIFS(Match!$D:$D,$T$2,Match!$C:$C,$F9,Match!$H:$H,"L"))</f>
        <v/>
      </c>
      <c r="J9" s="40" t="str">
        <f t="shared" si="1"/>
        <v/>
      </c>
      <c r="N9" s="26"/>
    </row>
    <row r="10">
      <c r="B10" s="36" t="s">
        <v>102</v>
      </c>
      <c r="C10" s="41">
        <f>IFERROR(COUNTIFS(Match!$D:$D,$T$2,Match!$G:$G,1,Match!$H:$H,"W")/C9,"")</f>
        <v>0.7619047619</v>
      </c>
      <c r="F10" s="19"/>
      <c r="G10" s="29" t="str">
        <f>IF($F10="","",COUNTIFS(Match!$D:$D,$T$2,Match!$C:$C,$F10))</f>
        <v/>
      </c>
      <c r="H10" s="29" t="str">
        <f>IF($F10="","",COUNTIFS(Match!$D:$D,$T$2,Match!$C:$C,$F10,Match!$H:$H,"W"))</f>
        <v/>
      </c>
      <c r="I10" s="29" t="str">
        <f>IF($F10="","",COUNTIFS(Match!$D:$D,$T$2,Match!$C:$C,$F10,Match!$H:$H,"L"))</f>
        <v/>
      </c>
      <c r="J10" s="40" t="str">
        <f t="shared" si="1"/>
        <v/>
      </c>
      <c r="N10" s="26"/>
    </row>
    <row r="11">
      <c r="B11" s="36" t="s">
        <v>113</v>
      </c>
      <c r="C11" s="39">
        <f>COUNTIFS(Match!$D:$D,$T$2,Match!$G:$G,2)</f>
        <v>10</v>
      </c>
      <c r="F11" s="19"/>
      <c r="G11" s="29" t="str">
        <f>IF($F11="","",COUNTIFS(Match!$D:$D,$T$2,Match!$C:$C,$F11))</f>
        <v/>
      </c>
      <c r="H11" s="29" t="str">
        <f>IF($F11="","",COUNTIFS(Match!$D:$D,$T$2,Match!$C:$C,$F11,Match!$H:$H,"W"))</f>
        <v/>
      </c>
      <c r="I11" s="29" t="str">
        <f>IF($F11="","",COUNTIFS(Match!$D:$D,$T$2,Match!$C:$C,$F11,Match!$H:$H,"L"))</f>
        <v/>
      </c>
      <c r="J11" s="40" t="str">
        <f t="shared" si="1"/>
        <v/>
      </c>
      <c r="N11" s="26"/>
    </row>
    <row r="12">
      <c r="B12" s="36" t="s">
        <v>103</v>
      </c>
      <c r="C12" s="41">
        <f>IFERROR(COUNTIFS(Match!$D:$D,$T$2,Match!$G:$G,2,Match!$H:$H,"W")/C11,"")</f>
        <v>0.6</v>
      </c>
      <c r="N12" s="26"/>
    </row>
    <row r="13">
      <c r="N13" s="26"/>
    </row>
    <row r="14">
      <c r="N14" s="26"/>
    </row>
    <row r="15" ht="15.75" customHeight="1">
      <c r="B15" s="34" t="s">
        <v>115</v>
      </c>
      <c r="C15" s="6"/>
      <c r="D15" s="6"/>
      <c r="E15" s="6"/>
      <c r="F15" s="8"/>
      <c r="H15" s="34" t="s">
        <v>116</v>
      </c>
      <c r="I15" s="6"/>
      <c r="J15" s="6"/>
      <c r="K15" s="8"/>
      <c r="N15" s="26"/>
    </row>
    <row r="16">
      <c r="B16" s="11" t="s">
        <v>117</v>
      </c>
      <c r="C16" s="11" t="s">
        <v>95</v>
      </c>
      <c r="D16" s="11" t="s">
        <v>96</v>
      </c>
      <c r="E16" s="11" t="s">
        <v>97</v>
      </c>
      <c r="F16" s="11" t="s">
        <v>98</v>
      </c>
      <c r="H16" s="11" t="s">
        <v>54</v>
      </c>
      <c r="I16" s="11" t="s">
        <v>95</v>
      </c>
      <c r="J16" s="11" t="s">
        <v>96</v>
      </c>
      <c r="K16" s="11" t="s">
        <v>98</v>
      </c>
      <c r="N16" s="26"/>
    </row>
    <row r="17">
      <c r="B17" s="19" t="s">
        <v>66</v>
      </c>
      <c r="C17" s="29">
        <f>IF($B17="","",COUNTIFS(Match!$D:$D,$T$2,Match!$F:$F,$B17))</f>
        <v>1</v>
      </c>
      <c r="D17" s="29">
        <f>IF($B17="","",COUNTIFS(Match!$D:$D,$T$2,Match!$F:$F,$B17,Match!$H:$H,"W"))</f>
        <v>1</v>
      </c>
      <c r="E17" s="29">
        <f>IF($B17="","",COUNTIFS(Match!$D:$D,$T$2,Match!$F:$F,$B17,Match!$H:$H,"L"))</f>
        <v>0</v>
      </c>
      <c r="F17" s="40">
        <f t="shared" ref="F17:F51" si="2">IF($B17="","",IFERROR(D17/C17,""))</f>
        <v>1</v>
      </c>
      <c r="H17" s="19" t="s">
        <v>119</v>
      </c>
      <c r="I17" s="29">
        <f>C9</f>
        <v>21</v>
      </c>
      <c r="J17" s="29">
        <f>COUNTIFS(Match!$D:$D,$T$2,Match!$G:$G,1,Match!$H:$H,"W")</f>
        <v>16</v>
      </c>
      <c r="K17" s="40">
        <f t="shared" ref="K17:K18" si="3">IFERROR(J17/I17,"")</f>
        <v>0.7619047619</v>
      </c>
      <c r="N17" s="26"/>
    </row>
    <row r="18">
      <c r="B18" s="19" t="s">
        <v>65</v>
      </c>
      <c r="C18" s="29">
        <f>IF($B18="","",COUNTIFS(Match!$D:$D,$T$2,Match!$F:$F,$B18))</f>
        <v>2</v>
      </c>
      <c r="D18" s="29">
        <f>IF($B18="","",COUNTIFS(Match!$D:$D,$T$2,Match!$F:$F,$B18,Match!$H:$H,"W"))</f>
        <v>2</v>
      </c>
      <c r="E18" s="29">
        <f>IF($B18="","",COUNTIFS(Match!$D:$D,$T$2,Match!$F:$F,$B18,Match!$H:$H,"L"))</f>
        <v>0</v>
      </c>
      <c r="F18" s="40">
        <f t="shared" si="2"/>
        <v>1</v>
      </c>
      <c r="H18" s="19" t="s">
        <v>122</v>
      </c>
      <c r="I18" s="29">
        <f>C11</f>
        <v>10</v>
      </c>
      <c r="J18" s="29">
        <f>COUNTIFS(Match!$D:$D,$T$2,Match!$G:$G,2,Match!$H:$H,"W")</f>
        <v>6</v>
      </c>
      <c r="K18" s="40">
        <f t="shared" si="3"/>
        <v>0.6</v>
      </c>
      <c r="N18" s="26"/>
    </row>
    <row r="19">
      <c r="B19" s="19" t="s">
        <v>73</v>
      </c>
      <c r="C19" s="29">
        <f>IF($B19="","",COUNTIFS(Match!$D:$D,$T$2,Match!$F:$F,$B19))</f>
        <v>2</v>
      </c>
      <c r="D19" s="29">
        <f>IF($B19="","",COUNTIFS(Match!$D:$D,$T$2,Match!$F:$F,$B19,Match!$H:$H,"W"))</f>
        <v>2</v>
      </c>
      <c r="E19" s="29">
        <f>IF($B19="","",COUNTIFS(Match!$D:$D,$T$2,Match!$F:$F,$B19,Match!$H:$H,"L"))</f>
        <v>0</v>
      </c>
      <c r="F19" s="40">
        <f t="shared" si="2"/>
        <v>1</v>
      </c>
      <c r="N19" s="26"/>
    </row>
    <row r="20">
      <c r="B20" s="19" t="s">
        <v>75</v>
      </c>
      <c r="C20" s="29">
        <f>IF($B20="","",COUNTIFS(Match!$D:$D,$T$2,Match!$F:$F,$B20))</f>
        <v>1</v>
      </c>
      <c r="D20" s="29">
        <f>IF($B20="","",COUNTIFS(Match!$D:$D,$T$2,Match!$F:$F,$B20,Match!$H:$H,"W"))</f>
        <v>1</v>
      </c>
      <c r="E20" s="29">
        <f>IF($B20="","",COUNTIFS(Match!$D:$D,$T$2,Match!$F:$F,$B20,Match!$H:$H,"L"))</f>
        <v>0</v>
      </c>
      <c r="F20" s="40">
        <f t="shared" si="2"/>
        <v>1</v>
      </c>
      <c r="N20" s="26"/>
    </row>
    <row r="21" ht="15.75" customHeight="1">
      <c r="B21" s="19" t="s">
        <v>77</v>
      </c>
      <c r="C21" s="29">
        <f>IF($B21="","",COUNTIFS(Match!$D:$D,$T$2,Match!$F:$F,$B21))</f>
        <v>3</v>
      </c>
      <c r="D21" s="29">
        <f>IF($B21="","",COUNTIFS(Match!$D:$D,$T$2,Match!$F:$F,$B21,Match!$H:$H,"W"))</f>
        <v>1</v>
      </c>
      <c r="E21" s="29">
        <f>IF($B21="","",COUNTIFS(Match!$D:$D,$T$2,Match!$F:$F,$B21,Match!$H:$H,"L"))</f>
        <v>2</v>
      </c>
      <c r="F21" s="40">
        <f t="shared" si="2"/>
        <v>0.3333333333</v>
      </c>
      <c r="N21" s="26"/>
    </row>
    <row r="22" ht="15.75" customHeight="1">
      <c r="B22" s="19" t="s">
        <v>80</v>
      </c>
      <c r="C22" s="29">
        <f>IF($B22="","",COUNTIFS(Match!$D:$D,$T$2,Match!$F:$F,$B22))</f>
        <v>2</v>
      </c>
      <c r="D22" s="29">
        <f>IF($B22="","",COUNTIFS(Match!$D:$D,$T$2,Match!$F:$F,$B22,Match!$H:$H,"W"))</f>
        <v>2</v>
      </c>
      <c r="E22" s="29">
        <f>IF($B22="","",COUNTIFS(Match!$D:$D,$T$2,Match!$F:$F,$B22,Match!$H:$H,"L"))</f>
        <v>0</v>
      </c>
      <c r="F22" s="40">
        <f t="shared" si="2"/>
        <v>1</v>
      </c>
      <c r="N22" s="26"/>
    </row>
    <row r="23" ht="15.75" customHeight="1">
      <c r="B23" s="19" t="s">
        <v>83</v>
      </c>
      <c r="C23" s="29">
        <f>IF($B23="","",COUNTIFS(Match!$D:$D,$T$2,Match!$F:$F,$B23))</f>
        <v>1</v>
      </c>
      <c r="D23" s="29">
        <f>IF($B23="","",COUNTIFS(Match!$D:$D,$T$2,Match!$F:$F,$B23,Match!$H:$H,"W"))</f>
        <v>1</v>
      </c>
      <c r="E23" s="29">
        <f>IF($B23="","",COUNTIFS(Match!$D:$D,$T$2,Match!$F:$F,$B23,Match!$H:$H,"L"))</f>
        <v>0</v>
      </c>
      <c r="F23" s="40">
        <f t="shared" si="2"/>
        <v>1</v>
      </c>
      <c r="N23" s="26"/>
    </row>
    <row r="24" ht="15.75" customHeight="1">
      <c r="B24" s="19" t="s">
        <v>91</v>
      </c>
      <c r="C24" s="29">
        <f>IF($B24="","",COUNTIFS(Match!$D:$D,$T$2,Match!$F:$F,$B24))</f>
        <v>1</v>
      </c>
      <c r="D24" s="29">
        <f>IF($B24="","",COUNTIFS(Match!$D:$D,$T$2,Match!$F:$F,$B24,Match!$H:$H,"W"))</f>
        <v>0</v>
      </c>
      <c r="E24" s="29">
        <f>IF($B24="","",COUNTIFS(Match!$D:$D,$T$2,Match!$F:$F,$B24,Match!$H:$H,"L"))</f>
        <v>1</v>
      </c>
      <c r="F24" s="40">
        <f t="shared" si="2"/>
        <v>0</v>
      </c>
      <c r="N24" s="26"/>
    </row>
    <row r="25" ht="15.75" customHeight="1">
      <c r="B25" s="19" t="s">
        <v>92</v>
      </c>
      <c r="C25" s="29">
        <f>IF($B25="","",COUNTIFS(Match!$D:$D,$T$2,Match!$F:$F,$B25))</f>
        <v>3</v>
      </c>
      <c r="D25" s="29">
        <f>IF($B25="","",COUNTIFS(Match!$D:$D,$T$2,Match!$F:$F,$B25,Match!$H:$H,"W"))</f>
        <v>2</v>
      </c>
      <c r="E25" s="29">
        <f>IF($B25="","",COUNTIFS(Match!$D:$D,$T$2,Match!$F:$F,$B25,Match!$H:$H,"L"))</f>
        <v>1</v>
      </c>
      <c r="F25" s="40">
        <f t="shared" si="2"/>
        <v>0.6666666667</v>
      </c>
      <c r="N25" s="26"/>
    </row>
    <row r="26" ht="15.75" customHeight="1">
      <c r="B26" s="19" t="s">
        <v>104</v>
      </c>
      <c r="C26" s="29">
        <f>IF($B26="","",COUNTIFS(Match!$D:$D,$T$2,Match!$F:$F,$B26))</f>
        <v>1</v>
      </c>
      <c r="D26" s="29">
        <f>IF($B26="","",COUNTIFS(Match!$D:$D,$T$2,Match!$F:$F,$B26,Match!$H:$H,"W"))</f>
        <v>1</v>
      </c>
      <c r="E26" s="29">
        <f>IF($B26="","",COUNTIFS(Match!$D:$D,$T$2,Match!$F:$F,$B26,Match!$H:$H,"L"))</f>
        <v>0</v>
      </c>
      <c r="F26" s="40">
        <f t="shared" si="2"/>
        <v>1</v>
      </c>
      <c r="N26" s="26"/>
    </row>
    <row r="27" ht="15.75" customHeight="1">
      <c r="B27" s="19" t="s">
        <v>106</v>
      </c>
      <c r="C27" s="29">
        <f>IF($B27="","",COUNTIFS(Match!$D:$D,$T$2,Match!$F:$F,$B27))</f>
        <v>1</v>
      </c>
      <c r="D27" s="29">
        <f>IF($B27="","",COUNTIFS(Match!$D:$D,$T$2,Match!$F:$F,$B27,Match!$H:$H,"W"))</f>
        <v>1</v>
      </c>
      <c r="E27" s="29">
        <f>IF($B27="","",COUNTIFS(Match!$D:$D,$T$2,Match!$F:$F,$B27,Match!$H:$H,"L"))</f>
        <v>0</v>
      </c>
      <c r="F27" s="40">
        <f t="shared" si="2"/>
        <v>1</v>
      </c>
      <c r="N27" s="26"/>
    </row>
    <row r="28" ht="15.75" customHeight="1">
      <c r="B28" s="19" t="s">
        <v>71</v>
      </c>
      <c r="C28" s="29">
        <f>IF($B28="","",COUNTIFS(Match!$D:$D,$T$2,Match!$F:$F,$B28))</f>
        <v>5</v>
      </c>
      <c r="D28" s="29">
        <f>IF($B28="","",COUNTIFS(Match!$D:$D,$T$2,Match!$F:$F,$B28,Match!$H:$H,"W"))</f>
        <v>2</v>
      </c>
      <c r="E28" s="29">
        <f>IF($B28="","",COUNTIFS(Match!$D:$D,$T$2,Match!$F:$F,$B28,Match!$H:$H,"L"))</f>
        <v>3</v>
      </c>
      <c r="F28" s="40">
        <f t="shared" si="2"/>
        <v>0.4</v>
      </c>
      <c r="N28" s="26"/>
    </row>
    <row r="29" ht="15.75" customHeight="1">
      <c r="B29" s="19" t="s">
        <v>111</v>
      </c>
      <c r="C29" s="29">
        <f>IF($B29="","",COUNTIFS(Match!$D:$D,$T$2,Match!$F:$F,$B29))</f>
        <v>1</v>
      </c>
      <c r="D29" s="29">
        <f>IF($B29="","",COUNTIFS(Match!$D:$D,$T$2,Match!$F:$F,$B29,Match!$H:$H,"W"))</f>
        <v>1</v>
      </c>
      <c r="E29" s="29">
        <f>IF($B29="","",COUNTIFS(Match!$D:$D,$T$2,Match!$F:$F,$B29,Match!$H:$H,"L"))</f>
        <v>0</v>
      </c>
      <c r="F29" s="40">
        <f t="shared" si="2"/>
        <v>1</v>
      </c>
      <c r="N29" s="26"/>
    </row>
    <row r="30" ht="15.75" customHeight="1">
      <c r="B30" s="19" t="s">
        <v>114</v>
      </c>
      <c r="C30" s="29">
        <f>IF($B30="","",COUNTIFS(Match!$D:$D,$T$2,Match!$F:$F,$B30))</f>
        <v>1</v>
      </c>
      <c r="D30" s="29">
        <f>IF($B30="","",COUNTIFS(Match!$D:$D,$T$2,Match!$F:$F,$B30,Match!$H:$H,"W"))</f>
        <v>0</v>
      </c>
      <c r="E30" s="29">
        <f>IF($B30="","",COUNTIFS(Match!$D:$D,$T$2,Match!$F:$F,$B30,Match!$H:$H,"L"))</f>
        <v>1</v>
      </c>
      <c r="F30" s="40">
        <f t="shared" si="2"/>
        <v>0</v>
      </c>
      <c r="N30" s="26"/>
    </row>
    <row r="31" ht="15.75" customHeight="1">
      <c r="B31" s="19" t="s">
        <v>129</v>
      </c>
      <c r="C31" s="29">
        <f>IF($B31="","",COUNTIFS(Match!$D:$D,$T$2,Match!$F:$F,$B31))</f>
        <v>1</v>
      </c>
      <c r="D31" s="29">
        <f>IF($B31="","",COUNTIFS(Match!$D:$D,$T$2,Match!$F:$F,$B31,Match!$H:$H,"W"))</f>
        <v>1</v>
      </c>
      <c r="E31" s="29">
        <f>IF($B31="","",COUNTIFS(Match!$D:$D,$T$2,Match!$F:$F,$B31,Match!$H:$H,"L"))</f>
        <v>0</v>
      </c>
      <c r="F31" s="40">
        <f t="shared" si="2"/>
        <v>1</v>
      </c>
      <c r="N31" s="26"/>
    </row>
    <row r="32" ht="15.75" customHeight="1">
      <c r="B32" s="19" t="s">
        <v>120</v>
      </c>
      <c r="C32" s="29">
        <f>IF($B32="","",COUNTIFS(Match!$D:$D,$T$2,Match!$F:$F,$B32))</f>
        <v>1</v>
      </c>
      <c r="D32" s="29">
        <f>IF($B32="","",COUNTIFS(Match!$D:$D,$T$2,Match!$F:$F,$B32,Match!$H:$H,"W"))</f>
        <v>1</v>
      </c>
      <c r="E32" s="29">
        <f>IF($B32="","",COUNTIFS(Match!$D:$D,$T$2,Match!$F:$F,$B32,Match!$H:$H,"L"))</f>
        <v>0</v>
      </c>
      <c r="F32" s="40">
        <f t="shared" si="2"/>
        <v>1</v>
      </c>
      <c r="N32" s="26"/>
    </row>
    <row r="33" ht="15.75" customHeight="1">
      <c r="B33" s="19" t="s">
        <v>131</v>
      </c>
      <c r="C33" s="29">
        <f>IF($B33="","",COUNTIFS(Match!$D:$D,$T$2,Match!$F:$F,$B33))</f>
        <v>1</v>
      </c>
      <c r="D33" s="29">
        <f>IF($B33="","",COUNTIFS(Match!$D:$D,$T$2,Match!$F:$F,$B33,Match!$H:$H,"W"))</f>
        <v>0</v>
      </c>
      <c r="E33" s="29">
        <f>IF($B33="","",COUNTIFS(Match!$D:$D,$T$2,Match!$F:$F,$B33,Match!$H:$H,"L"))</f>
        <v>1</v>
      </c>
      <c r="F33" s="40">
        <f t="shared" si="2"/>
        <v>0</v>
      </c>
      <c r="N33" s="26"/>
    </row>
    <row r="34" ht="15.75" customHeight="1">
      <c r="B34" s="19" t="s">
        <v>132</v>
      </c>
      <c r="C34" s="29">
        <f>IF($B34="","",COUNTIFS(Match!$D:$D,$T$2,Match!$F:$F,$B34))</f>
        <v>1</v>
      </c>
      <c r="D34" s="29">
        <f>IF($B34="","",COUNTIFS(Match!$D:$D,$T$2,Match!$F:$F,$B34,Match!$H:$H,"W"))</f>
        <v>1</v>
      </c>
      <c r="E34" s="29">
        <f>IF($B34="","",COUNTIFS(Match!$D:$D,$T$2,Match!$F:$F,$B34,Match!$H:$H,"L"))</f>
        <v>0</v>
      </c>
      <c r="F34" s="40">
        <f t="shared" si="2"/>
        <v>1</v>
      </c>
      <c r="N34" s="26"/>
    </row>
    <row r="35" ht="15.75" customHeight="1">
      <c r="B35" s="19" t="s">
        <v>133</v>
      </c>
      <c r="C35" s="29">
        <f>IF($B35="","",COUNTIFS(Match!$D:$D,$T$2,Match!$F:$F,$B35))</f>
        <v>1</v>
      </c>
      <c r="D35" s="29">
        <f>IF($B35="","",COUNTIFS(Match!$D:$D,$T$2,Match!$F:$F,$B35,Match!$H:$H,"W"))</f>
        <v>1</v>
      </c>
      <c r="E35" s="29">
        <f>IF($B35="","",COUNTIFS(Match!$D:$D,$T$2,Match!$F:$F,$B35,Match!$H:$H,"L"))</f>
        <v>0</v>
      </c>
      <c r="F35" s="40">
        <f t="shared" si="2"/>
        <v>1</v>
      </c>
      <c r="N35" s="26"/>
    </row>
    <row r="36" ht="15.75" customHeight="1">
      <c r="B36" s="19" t="s">
        <v>135</v>
      </c>
      <c r="C36" s="29">
        <f>IF($B36="","",COUNTIFS(Match!$D:$D,$T$2,Match!$F:$F,$B36))</f>
        <v>1</v>
      </c>
      <c r="D36" s="29">
        <f>IF($B36="","",COUNTIFS(Match!$D:$D,$T$2,Match!$F:$F,$B36,Match!$H:$H,"W"))</f>
        <v>1</v>
      </c>
      <c r="E36" s="29">
        <f>IF($B36="","",COUNTIFS(Match!$D:$D,$T$2,Match!$F:$F,$B36,Match!$H:$H,"L"))</f>
        <v>0</v>
      </c>
      <c r="F36" s="40">
        <f t="shared" si="2"/>
        <v>1</v>
      </c>
      <c r="N36" s="26"/>
    </row>
    <row r="37" ht="15.75" customHeight="1">
      <c r="B37" s="19"/>
      <c r="C37" s="29" t="str">
        <f>IF($B37="","",COUNTIFS(Match!$D:$D,$T$2,Match!$F:$F,$B37))</f>
        <v/>
      </c>
      <c r="D37" s="29" t="str">
        <f>IF($B37="","",COUNTIFS(Match!$D:$D,$T$2,Match!$F:$F,$B37,Match!$H:$H,"W"))</f>
        <v/>
      </c>
      <c r="E37" s="29" t="str">
        <f>IF($B37="","",COUNTIFS(Match!$D:$D,$T$2,Match!$F:$F,$B37,Match!$H:$H,"L"))</f>
        <v/>
      </c>
      <c r="F37" s="40" t="str">
        <f t="shared" si="2"/>
        <v/>
      </c>
      <c r="N37" s="26"/>
    </row>
    <row r="38" ht="15.75" customHeight="1">
      <c r="B38" s="19"/>
      <c r="C38" s="29" t="str">
        <f>IF($B38="","",COUNTIFS(Match!$D:$D,$T$2,Match!$F:$F,$B38))</f>
        <v/>
      </c>
      <c r="D38" s="29" t="str">
        <f>IF($B38="","",COUNTIFS(Match!$D:$D,$T$2,Match!$F:$F,$B38,Match!$H:$H,"W"))</f>
        <v/>
      </c>
      <c r="E38" s="29" t="str">
        <f>IF($B38="","",COUNTIFS(Match!$D:$D,$T$2,Match!$F:$F,$B38,Match!$H:$H,"L"))</f>
        <v/>
      </c>
      <c r="F38" s="40" t="str">
        <f t="shared" si="2"/>
        <v/>
      </c>
      <c r="N38" s="26"/>
    </row>
    <row r="39" ht="15.75" customHeight="1">
      <c r="B39" s="19"/>
      <c r="C39" s="29" t="str">
        <f>IF($B39="","",COUNTIFS(Match!$D:$D,$T$2,Match!$F:$F,$B39))</f>
        <v/>
      </c>
      <c r="D39" s="29" t="str">
        <f>IF($B39="","",COUNTIFS(Match!$D:$D,$T$2,Match!$F:$F,$B39,Match!$H:$H,"W"))</f>
        <v/>
      </c>
      <c r="E39" s="29" t="str">
        <f>IF($B39="","",COUNTIFS(Match!$D:$D,$T$2,Match!$F:$F,$B39,Match!$H:$H,"L"))</f>
        <v/>
      </c>
      <c r="F39" s="40" t="str">
        <f t="shared" si="2"/>
        <v/>
      </c>
      <c r="N39" s="26"/>
    </row>
    <row r="40" ht="15.75" customHeight="1">
      <c r="B40" s="19"/>
      <c r="C40" s="29" t="str">
        <f>IF($B40="","",COUNTIFS(Match!$D:$D,$T$2,Match!$F:$F,$B40))</f>
        <v/>
      </c>
      <c r="D40" s="29" t="str">
        <f>IF($B40="","",COUNTIFS(Match!$D:$D,$T$2,Match!$F:$F,$B40,Match!$H:$H,"W"))</f>
        <v/>
      </c>
      <c r="E40" s="29" t="str">
        <f>IF($B40="","",COUNTIFS(Match!$D:$D,$T$2,Match!$F:$F,$B40,Match!$H:$H,"L"))</f>
        <v/>
      </c>
      <c r="F40" s="40" t="str">
        <f t="shared" si="2"/>
        <v/>
      </c>
      <c r="N40" s="26"/>
    </row>
    <row r="41" ht="15.75" customHeight="1">
      <c r="B41" s="19"/>
      <c r="C41" s="29" t="str">
        <f>IF($B41="","",COUNTIFS(Match!$D:$D,$T$2,Match!$F:$F,$B41))</f>
        <v/>
      </c>
      <c r="D41" s="29" t="str">
        <f>IF($B41="","",COUNTIFS(Match!$D:$D,$T$2,Match!$F:$F,$B41,Match!$H:$H,"W"))</f>
        <v/>
      </c>
      <c r="E41" s="29" t="str">
        <f>IF($B41="","",COUNTIFS(Match!$D:$D,$T$2,Match!$F:$F,$B41,Match!$H:$H,"L"))</f>
        <v/>
      </c>
      <c r="F41" s="40" t="str">
        <f t="shared" si="2"/>
        <v/>
      </c>
      <c r="N41" s="26"/>
    </row>
    <row r="42" ht="15.75" customHeight="1">
      <c r="B42" s="19"/>
      <c r="C42" s="29" t="str">
        <f>IF($B42="","",COUNTIFS(Match!$D:$D,$T$2,Match!$F:$F,$B42))</f>
        <v/>
      </c>
      <c r="D42" s="29" t="str">
        <f>IF($B42="","",COUNTIFS(Match!$D:$D,$T$2,Match!$F:$F,$B42,Match!$H:$H,"W"))</f>
        <v/>
      </c>
      <c r="E42" s="29" t="str">
        <f>IF($B42="","",COUNTIFS(Match!$D:$D,$T$2,Match!$F:$F,$B42,Match!$H:$H,"L"))</f>
        <v/>
      </c>
      <c r="F42" s="40" t="str">
        <f t="shared" si="2"/>
        <v/>
      </c>
      <c r="N42" s="26"/>
    </row>
    <row r="43" ht="15.75" customHeight="1">
      <c r="B43" s="19"/>
      <c r="C43" s="29" t="str">
        <f>IF($B43="","",COUNTIFS(Match!$D:$D,$T$2,Match!$F:$F,$B43))</f>
        <v/>
      </c>
      <c r="D43" s="29" t="str">
        <f>IF($B43="","",COUNTIFS(Match!$D:$D,$T$2,Match!$F:$F,$B43,Match!$H:$H,"W"))</f>
        <v/>
      </c>
      <c r="E43" s="29" t="str">
        <f>IF($B43="","",COUNTIFS(Match!$D:$D,$T$2,Match!$F:$F,$B43,Match!$H:$H,"L"))</f>
        <v/>
      </c>
      <c r="F43" s="40" t="str">
        <f t="shared" si="2"/>
        <v/>
      </c>
      <c r="N43" s="26"/>
    </row>
    <row r="44" ht="15.75" customHeight="1">
      <c r="B44" s="19"/>
      <c r="C44" s="29" t="str">
        <f>IF($B44="","",COUNTIFS(Match!$D:$D,$T$2,Match!$F:$F,$B44))</f>
        <v/>
      </c>
      <c r="D44" s="29" t="str">
        <f>IF($B44="","",COUNTIFS(Match!$D:$D,$T$2,Match!$F:$F,$B44,Match!$H:$H,"W"))</f>
        <v/>
      </c>
      <c r="E44" s="29" t="str">
        <f>IF($B44="","",COUNTIFS(Match!$D:$D,$T$2,Match!$F:$F,$B44,Match!$H:$H,"L"))</f>
        <v/>
      </c>
      <c r="F44" s="40" t="str">
        <f t="shared" si="2"/>
        <v/>
      </c>
      <c r="N44" s="26"/>
    </row>
    <row r="45" ht="15.75" customHeight="1">
      <c r="B45" s="19"/>
      <c r="C45" s="29" t="str">
        <f>IF($B45="","",COUNTIFS(Match!$D:$D,$T$2,Match!$F:$F,$B45))</f>
        <v/>
      </c>
      <c r="D45" s="29" t="str">
        <f>IF($B45="","",COUNTIFS(Match!$D:$D,$T$2,Match!$F:$F,$B45,Match!$H:$H,"W"))</f>
        <v/>
      </c>
      <c r="E45" s="29" t="str">
        <f>IF($B45="","",COUNTIFS(Match!$D:$D,$T$2,Match!$F:$F,$B45,Match!$H:$H,"L"))</f>
        <v/>
      </c>
      <c r="F45" s="40" t="str">
        <f t="shared" si="2"/>
        <v/>
      </c>
      <c r="N45" s="26"/>
    </row>
    <row r="46" ht="15.75" customHeight="1">
      <c r="B46" s="19"/>
      <c r="C46" s="29" t="str">
        <f>IF($B46="","",COUNTIFS(Match!$D:$D,$T$2,Match!$F:$F,$B46))</f>
        <v/>
      </c>
      <c r="D46" s="29" t="str">
        <f>IF($B46="","",COUNTIFS(Match!$D:$D,$T$2,Match!$F:$F,$B46,Match!$H:$H,"W"))</f>
        <v/>
      </c>
      <c r="E46" s="29" t="str">
        <f>IF($B46="","",COUNTIFS(Match!$D:$D,$T$2,Match!$F:$F,$B46,Match!$H:$H,"L"))</f>
        <v/>
      </c>
      <c r="F46" s="40" t="str">
        <f t="shared" si="2"/>
        <v/>
      </c>
      <c r="N46" s="26"/>
    </row>
    <row r="47" ht="15.75" customHeight="1">
      <c r="B47" s="19"/>
      <c r="C47" s="29" t="str">
        <f>IF($B47="","",COUNTIFS(Match!$D:$D,$T$2,Match!$F:$F,$B47))</f>
        <v/>
      </c>
      <c r="D47" s="29" t="str">
        <f>IF($B47="","",COUNTIFS(Match!$D:$D,$T$2,Match!$F:$F,$B47,Match!$H:$H,"W"))</f>
        <v/>
      </c>
      <c r="E47" s="29" t="str">
        <f>IF($B47="","",COUNTIFS(Match!$D:$D,$T$2,Match!$F:$F,$B47,Match!$H:$H,"L"))</f>
        <v/>
      </c>
      <c r="F47" s="40" t="str">
        <f t="shared" si="2"/>
        <v/>
      </c>
    </row>
    <row r="48" ht="15.75" customHeight="1">
      <c r="B48" s="19"/>
      <c r="C48" s="29" t="str">
        <f>IF($B48="","",COUNTIFS(Match!$D:$D,$T$2,Match!$F:$F,$B48))</f>
        <v/>
      </c>
      <c r="D48" s="29" t="str">
        <f>IF($B48="","",COUNTIFS(Match!$D:$D,$T$2,Match!$F:$F,$B48,Match!$H:$H,"W"))</f>
        <v/>
      </c>
      <c r="E48" s="29" t="str">
        <f>IF($B48="","",COUNTIFS(Match!$D:$D,$T$2,Match!$F:$F,$B48,Match!$H:$H,"L"))</f>
        <v/>
      </c>
      <c r="F48" s="40" t="str">
        <f t="shared" si="2"/>
        <v/>
      </c>
    </row>
    <row r="49" ht="15.75" customHeight="1">
      <c r="B49" s="19"/>
      <c r="C49" s="29" t="str">
        <f>IF($B49="","",COUNTIFS(Match!$D:$D,$T$2,Match!$F:$F,$B49))</f>
        <v/>
      </c>
      <c r="D49" s="29" t="str">
        <f>IF($B49="","",COUNTIFS(Match!$D:$D,$T$2,Match!$F:$F,$B49,Match!$H:$H,"W"))</f>
        <v/>
      </c>
      <c r="E49" s="29" t="str">
        <f>IF($B49="","",COUNTIFS(Match!$D:$D,$T$2,Match!$F:$F,$B49,Match!$H:$H,"L"))</f>
        <v/>
      </c>
      <c r="F49" s="40" t="str">
        <f t="shared" si="2"/>
        <v/>
      </c>
    </row>
    <row r="50" ht="15.75" customHeight="1">
      <c r="B50" s="19"/>
      <c r="C50" s="29" t="str">
        <f>IF($B50="","",COUNTIFS(Match!$D:$D,$T$2,Match!$F:$F,$B50))</f>
        <v/>
      </c>
      <c r="D50" s="29" t="str">
        <f>IF($B50="","",COUNTIFS(Match!$D:$D,$T$2,Match!$F:$F,$B50,Match!$H:$H,"W"))</f>
        <v/>
      </c>
      <c r="E50" s="29" t="str">
        <f>IF($B50="","",COUNTIFS(Match!$D:$D,$T$2,Match!$F:$F,$B50,Match!$H:$H,"L"))</f>
        <v/>
      </c>
      <c r="F50" s="40" t="str">
        <f t="shared" si="2"/>
        <v/>
      </c>
    </row>
    <row r="51" ht="15.75" customHeight="1">
      <c r="B51" s="19"/>
      <c r="C51" s="29" t="str">
        <f>IF($B51="","",COUNTIFS(Match!$D:$D,$T$2,Match!$F:$F,$B51))</f>
        <v/>
      </c>
      <c r="D51" s="29" t="str">
        <f>IF($B51="","",COUNTIFS(Match!$D:$D,$T$2,Match!$F:$F,$B51,Match!$H:$H,"W"))</f>
        <v/>
      </c>
      <c r="E51" s="29" t="str">
        <f>IF($B51="","",COUNTIFS(Match!$D:$D,$T$2,Match!$F:$F,$B51,Match!$H:$H,"L"))</f>
        <v/>
      </c>
      <c r="F51" s="40" t="str">
        <f t="shared" si="2"/>
        <v/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B65" s="47" t="s">
        <v>15</v>
      </c>
      <c r="C65" s="47" t="s">
        <v>32</v>
      </c>
      <c r="D65" s="47"/>
    </row>
    <row r="66" ht="15.75" customHeight="1">
      <c r="B66" s="47" t="s">
        <v>83</v>
      </c>
      <c r="C66" s="47"/>
      <c r="D66" s="47"/>
    </row>
    <row r="67" ht="15.75" customHeight="1">
      <c r="B67" s="47" t="s">
        <v>106</v>
      </c>
      <c r="C67" s="47" t="s">
        <v>107</v>
      </c>
      <c r="D67" s="47"/>
    </row>
    <row r="68" ht="15.75" customHeight="1">
      <c r="B68" s="47" t="s">
        <v>120</v>
      </c>
      <c r="C68" s="47" t="s">
        <v>130</v>
      </c>
      <c r="D68" s="47"/>
    </row>
    <row r="69" ht="15.75" customHeight="1">
      <c r="B69" s="47" t="s">
        <v>71</v>
      </c>
      <c r="C69" s="47"/>
      <c r="D69" s="47"/>
    </row>
    <row r="70" ht="15.75" customHeight="1">
      <c r="B70" s="47"/>
      <c r="C70" s="47" t="s">
        <v>136</v>
      </c>
      <c r="D70" s="47"/>
    </row>
    <row r="71" ht="15.75" customHeight="1">
      <c r="B71" s="47" t="s">
        <v>131</v>
      </c>
      <c r="C71" s="47"/>
      <c r="D71" s="47"/>
    </row>
    <row r="72" ht="15.75" customHeight="1">
      <c r="B72" s="47" t="s">
        <v>65</v>
      </c>
      <c r="C72" s="47"/>
      <c r="D72" s="47"/>
    </row>
    <row r="73" ht="15.75" customHeight="1">
      <c r="B73" s="47"/>
      <c r="C73" s="47" t="s">
        <v>110</v>
      </c>
      <c r="D73" s="47"/>
    </row>
    <row r="74" ht="15.75" customHeight="1">
      <c r="B74" s="47" t="s">
        <v>135</v>
      </c>
      <c r="C74" s="47"/>
      <c r="D74" s="47"/>
    </row>
    <row r="75" ht="15.75" customHeight="1">
      <c r="B75" s="47" t="s">
        <v>132</v>
      </c>
      <c r="C75" s="47" t="s">
        <v>134</v>
      </c>
      <c r="D75" s="47"/>
    </row>
    <row r="76" ht="15.75" customHeight="1">
      <c r="B76" s="47" t="s">
        <v>75</v>
      </c>
      <c r="C76" s="47"/>
      <c r="D76" s="47"/>
    </row>
    <row r="77" ht="15.75" customHeight="1">
      <c r="B77" s="47" t="s">
        <v>92</v>
      </c>
      <c r="C77" s="47"/>
      <c r="D77" s="47"/>
    </row>
    <row r="78" ht="15.75" customHeight="1">
      <c r="B78" s="47"/>
      <c r="C78" s="47" t="s">
        <v>101</v>
      </c>
      <c r="D78" s="47"/>
    </row>
    <row r="79" ht="15.75" customHeight="1">
      <c r="B79" s="47"/>
      <c r="C79" s="47" t="s">
        <v>138</v>
      </c>
      <c r="D79" s="47"/>
    </row>
    <row r="80" ht="15.75" customHeight="1">
      <c r="B80" s="47" t="s">
        <v>129</v>
      </c>
      <c r="C80" s="47"/>
      <c r="D80" s="47"/>
    </row>
    <row r="81" ht="15.75" customHeight="1">
      <c r="B81" s="47" t="s">
        <v>77</v>
      </c>
      <c r="C81" s="47"/>
      <c r="D81" s="47"/>
    </row>
    <row r="82" ht="15.75" customHeight="1">
      <c r="B82" s="47" t="s">
        <v>114</v>
      </c>
      <c r="C82" s="47"/>
      <c r="D82" s="47"/>
    </row>
    <row r="83" ht="15.75" customHeight="1">
      <c r="B83" s="47" t="s">
        <v>73</v>
      </c>
      <c r="C83" s="47"/>
      <c r="D83" s="47"/>
    </row>
    <row r="84" ht="15.75" customHeight="1">
      <c r="B84" s="47"/>
      <c r="C84" s="47" t="s">
        <v>139</v>
      </c>
      <c r="D84" s="47"/>
    </row>
    <row r="85" ht="15.75" customHeight="1">
      <c r="B85" s="47" t="s">
        <v>133</v>
      </c>
      <c r="C85" s="47"/>
      <c r="D85" s="47"/>
    </row>
    <row r="86" ht="15.75" customHeight="1">
      <c r="B86" s="47" t="s">
        <v>91</v>
      </c>
      <c r="C86" s="47"/>
      <c r="D86" s="47"/>
    </row>
    <row r="87" ht="15.75" customHeight="1">
      <c r="B87" s="47" t="s">
        <v>104</v>
      </c>
      <c r="C87" s="47" t="s">
        <v>105</v>
      </c>
      <c r="D87" s="47"/>
    </row>
    <row r="88" ht="15.75" customHeight="1">
      <c r="B88" s="47" t="s">
        <v>111</v>
      </c>
      <c r="C88" s="47" t="s">
        <v>112</v>
      </c>
      <c r="D88" s="47"/>
    </row>
    <row r="89" ht="15.75" customHeight="1">
      <c r="B89" s="47" t="s">
        <v>66</v>
      </c>
      <c r="C89" s="47" t="s">
        <v>70</v>
      </c>
      <c r="D89" s="47"/>
    </row>
    <row r="90" ht="15.75" customHeight="1">
      <c r="B90" s="47" t="s">
        <v>80</v>
      </c>
      <c r="C90" s="47"/>
      <c r="D90" s="47"/>
    </row>
    <row r="91" ht="15.75" customHeight="1">
      <c r="B91" s="47"/>
      <c r="C91" s="47" t="s">
        <v>81</v>
      </c>
      <c r="D91" s="47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L2"/>
    <mergeCell ref="B4:C4"/>
    <mergeCell ref="F4:J4"/>
    <mergeCell ref="B15:F15"/>
    <mergeCell ref="H15:K15"/>
  </mergeCells>
  <conditionalFormatting sqref="C8">
    <cfRule type="colorScale" priority="1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conditionalFormatting sqref="F17:F51">
    <cfRule type="colorScale" priority="2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0"/>
    <col customWidth="1" min="2" max="2" width="24.0"/>
    <col customWidth="1" min="3" max="5" width="12.0"/>
    <col customWidth="1" min="6" max="6" width="14.0"/>
    <col customWidth="1" min="7" max="12" width="12.0"/>
    <col customWidth="1" min="13" max="13" width="8.63"/>
    <col customWidth="1" min="14" max="14" width="11.0"/>
    <col customWidth="1" min="15" max="26" width="8.63"/>
  </cols>
  <sheetData>
    <row r="1">
      <c r="T1" s="31" t="s">
        <v>84</v>
      </c>
    </row>
    <row r="2" ht="31.5" customHeight="1">
      <c r="B2" s="30" t="s">
        <v>167</v>
      </c>
      <c r="C2" s="6"/>
      <c r="D2" s="6"/>
      <c r="E2" s="6"/>
      <c r="F2" s="6"/>
      <c r="G2" s="6"/>
      <c r="H2" s="6"/>
      <c r="I2" s="6"/>
      <c r="J2" s="6"/>
      <c r="K2" s="6"/>
      <c r="L2" s="8"/>
      <c r="T2" s="31" t="s">
        <v>71</v>
      </c>
    </row>
    <row r="3">
      <c r="N3" s="49"/>
    </row>
    <row r="4" ht="15.75" customHeight="1">
      <c r="B4" s="34" t="s">
        <v>87</v>
      </c>
      <c r="C4" s="8"/>
      <c r="F4" s="34" t="s">
        <v>88</v>
      </c>
      <c r="G4" s="6"/>
      <c r="H4" s="6"/>
      <c r="I4" s="6"/>
      <c r="J4" s="8"/>
    </row>
    <row r="5">
      <c r="B5" s="36" t="s">
        <v>89</v>
      </c>
      <c r="C5" s="39">
        <f>COUNTIFS(Match!$D:$D,$T$2)</f>
        <v>25</v>
      </c>
      <c r="F5" s="11" t="s">
        <v>9</v>
      </c>
      <c r="G5" s="11" t="s">
        <v>95</v>
      </c>
      <c r="H5" s="11" t="s">
        <v>96</v>
      </c>
      <c r="I5" s="11" t="s">
        <v>97</v>
      </c>
      <c r="J5" s="11" t="s">
        <v>98</v>
      </c>
    </row>
    <row r="6">
      <c r="B6" s="36" t="s">
        <v>96</v>
      </c>
      <c r="C6" s="39">
        <f>COUNTIFS(Match!$D:$D,$T$2,Match!$H:$H,"W")</f>
        <v>17</v>
      </c>
      <c r="F6" s="19" t="s">
        <v>64</v>
      </c>
      <c r="G6" s="29">
        <f>IF($F6="","",COUNTIFS(Match!$D:$D,$T$2,Match!$C:$C,$F6))</f>
        <v>25</v>
      </c>
      <c r="H6" s="29">
        <f>IF($F6="","",COUNTIFS(Match!$D:$D,$T$2,Match!$C:$C,$F6,Match!$H:$H,"W"))</f>
        <v>17</v>
      </c>
      <c r="I6" s="29">
        <f>IF($F6="","",COUNTIFS(Match!$D:$D,$T$2,Match!$C:$C,$F6,Match!$H:$H,"L"))</f>
        <v>8</v>
      </c>
      <c r="J6" s="40">
        <f t="shared" ref="J6:J11" si="1">IF($F6="","",IFERROR(H6/G6,""))</f>
        <v>0.68</v>
      </c>
    </row>
    <row r="7">
      <c r="B7" s="36" t="s">
        <v>97</v>
      </c>
      <c r="C7" s="39">
        <f>COUNTIFS(Match!$D:$D,$T$2,Match!$H:$H,"L")</f>
        <v>8</v>
      </c>
      <c r="F7" s="19"/>
      <c r="G7" s="29" t="str">
        <f>IF($F7="","",COUNTIFS(Match!$D:$D,$T$2,Match!$C:$C,$F7))</f>
        <v/>
      </c>
      <c r="H7" s="29" t="str">
        <f>IF($F7="","",COUNTIFS(Match!$D:$D,$T$2,Match!$C:$C,$F7,Match!$H:$H,"W"))</f>
        <v/>
      </c>
      <c r="I7" s="29" t="str">
        <f>IF($F7="","",COUNTIFS(Match!$D:$D,$T$2,Match!$C:$C,$F7,Match!$H:$H,"L"))</f>
        <v/>
      </c>
      <c r="J7" s="40" t="str">
        <f t="shared" si="1"/>
        <v/>
      </c>
    </row>
    <row r="8">
      <c r="B8" s="36" t="s">
        <v>108</v>
      </c>
      <c r="C8" s="41">
        <f>IFERROR(C6/C5,"")</f>
        <v>0.68</v>
      </c>
      <c r="F8" s="19"/>
      <c r="G8" s="29" t="str">
        <f>IF($F8="","",COUNTIFS(Match!$D:$D,$T$2,Match!$C:$C,$F8))</f>
        <v/>
      </c>
      <c r="H8" s="29" t="str">
        <f>IF($F8="","",COUNTIFS(Match!$D:$D,$T$2,Match!$C:$C,$F8,Match!$H:$H,"W"))</f>
        <v/>
      </c>
      <c r="I8" s="29" t="str">
        <f>IF($F8="","",COUNTIFS(Match!$D:$D,$T$2,Match!$C:$C,$F8,Match!$H:$H,"L"))</f>
        <v/>
      </c>
      <c r="J8" s="40" t="str">
        <f t="shared" si="1"/>
        <v/>
      </c>
    </row>
    <row r="9">
      <c r="B9" s="36" t="s">
        <v>109</v>
      </c>
      <c r="C9" s="39">
        <f>COUNTIFS(Match!$D:$D,$T$2,Match!$G:$G,1)</f>
        <v>22</v>
      </c>
      <c r="F9" s="19"/>
      <c r="G9" s="29" t="str">
        <f>IF($F9="","",COUNTIFS(Match!$D:$D,$T$2,Match!$C:$C,$F9))</f>
        <v/>
      </c>
      <c r="H9" s="29" t="str">
        <f>IF($F9="","",COUNTIFS(Match!$D:$D,$T$2,Match!$C:$C,$F9,Match!$H:$H,"W"))</f>
        <v/>
      </c>
      <c r="I9" s="29" t="str">
        <f>IF($F9="","",COUNTIFS(Match!$D:$D,$T$2,Match!$C:$C,$F9,Match!$H:$H,"L"))</f>
        <v/>
      </c>
      <c r="J9" s="40" t="str">
        <f t="shared" si="1"/>
        <v/>
      </c>
    </row>
    <row r="10">
      <c r="B10" s="36" t="s">
        <v>102</v>
      </c>
      <c r="C10" s="41">
        <f>IFERROR(COUNTIFS(Match!$D:$D,$T$2,Match!$G:$G,1,Match!$H:$H,"W")/C9,"")</f>
        <v>0.7272727273</v>
      </c>
      <c r="F10" s="19"/>
      <c r="G10" s="29" t="str">
        <f>IF($F10="","",COUNTIFS(Match!$D:$D,$T$2,Match!$C:$C,$F10))</f>
        <v/>
      </c>
      <c r="H10" s="29" t="str">
        <f>IF($F10="","",COUNTIFS(Match!$D:$D,$T$2,Match!$C:$C,$F10,Match!$H:$H,"W"))</f>
        <v/>
      </c>
      <c r="I10" s="29" t="str">
        <f>IF($F10="","",COUNTIFS(Match!$D:$D,$T$2,Match!$C:$C,$F10,Match!$H:$H,"L"))</f>
        <v/>
      </c>
      <c r="J10" s="40" t="str">
        <f t="shared" si="1"/>
        <v/>
      </c>
    </row>
    <row r="11">
      <c r="B11" s="36" t="s">
        <v>113</v>
      </c>
      <c r="C11" s="39">
        <f>COUNTIFS(Match!$D:$D,$T$2,Match!$G:$G,2)</f>
        <v>3</v>
      </c>
      <c r="F11" s="19"/>
      <c r="G11" s="29" t="str">
        <f>IF($F11="","",COUNTIFS(Match!$D:$D,$T$2,Match!$C:$C,$F11))</f>
        <v/>
      </c>
      <c r="H11" s="29" t="str">
        <f>IF($F11="","",COUNTIFS(Match!$D:$D,$T$2,Match!$C:$C,$F11,Match!$H:$H,"W"))</f>
        <v/>
      </c>
      <c r="I11" s="29" t="str">
        <f>IF($F11="","",COUNTIFS(Match!$D:$D,$T$2,Match!$C:$C,$F11,Match!$H:$H,"L"))</f>
        <v/>
      </c>
      <c r="J11" s="40" t="str">
        <f t="shared" si="1"/>
        <v/>
      </c>
    </row>
    <row r="12">
      <c r="B12" s="36" t="s">
        <v>103</v>
      </c>
      <c r="C12" s="41">
        <f>IFERROR(COUNTIFS(Match!$D:$D,$T$2,Match!$G:$G,2,Match!$H:$H,"W")/C11,"")</f>
        <v>0.3333333333</v>
      </c>
    </row>
    <row r="15" ht="15.75" customHeight="1">
      <c r="B15" s="34" t="s">
        <v>115</v>
      </c>
      <c r="C15" s="6"/>
      <c r="D15" s="6"/>
      <c r="E15" s="6"/>
      <c r="F15" s="8"/>
      <c r="H15" s="34" t="s">
        <v>116</v>
      </c>
      <c r="I15" s="6"/>
      <c r="J15" s="6"/>
      <c r="K15" s="8"/>
    </row>
    <row r="16">
      <c r="B16" s="11" t="s">
        <v>117</v>
      </c>
      <c r="C16" s="11" t="s">
        <v>95</v>
      </c>
      <c r="D16" s="11" t="s">
        <v>96</v>
      </c>
      <c r="E16" s="11" t="s">
        <v>97</v>
      </c>
      <c r="F16" s="11" t="s">
        <v>98</v>
      </c>
      <c r="H16" s="11" t="s">
        <v>54</v>
      </c>
      <c r="I16" s="11" t="s">
        <v>95</v>
      </c>
      <c r="J16" s="11" t="s">
        <v>96</v>
      </c>
      <c r="K16" s="11" t="s">
        <v>98</v>
      </c>
    </row>
    <row r="17">
      <c r="B17" s="19" t="s">
        <v>118</v>
      </c>
      <c r="C17" s="29">
        <f>IF($B17="","",COUNTIFS(Match!$D:$D,$T$2,Match!$F:$F,$B17))</f>
        <v>3</v>
      </c>
      <c r="D17" s="29">
        <f>IF($B17="","",COUNTIFS(Match!$D:$D,$T$2,Match!$F:$F,$B17,Match!$H:$H,"W"))</f>
        <v>3</v>
      </c>
      <c r="E17" s="29">
        <f>IF($B17="","",COUNTIFS(Match!$D:$D,$T$2,Match!$F:$F,$B17,Match!$H:$H,"L"))</f>
        <v>0</v>
      </c>
      <c r="F17" s="40">
        <f t="shared" ref="F17:F47" si="2">IF($B17="","",IFERROR(D17/C17,""))</f>
        <v>1</v>
      </c>
      <c r="H17" s="19" t="s">
        <v>119</v>
      </c>
      <c r="I17" s="29">
        <f>C9</f>
        <v>22</v>
      </c>
      <c r="J17" s="29">
        <f>COUNTIFS(Match!$D:$D,$T$2,Match!$G:$G,1,Match!$H:$H,"W")</f>
        <v>16</v>
      </c>
      <c r="K17" s="40">
        <f t="shared" ref="K17:K18" si="3">IFERROR(J17/I17,"")</f>
        <v>0.7272727273</v>
      </c>
    </row>
    <row r="18">
      <c r="B18" s="19" t="s">
        <v>120</v>
      </c>
      <c r="C18" s="29">
        <f>IF($B18="","",COUNTIFS(Match!$D:$D,$T$2,Match!$F:$F,$B18))</f>
        <v>1</v>
      </c>
      <c r="D18" s="29">
        <f>IF($B18="","",COUNTIFS(Match!$D:$D,$T$2,Match!$F:$F,$B18,Match!$H:$H,"W"))</f>
        <v>0</v>
      </c>
      <c r="E18" s="29">
        <f>IF($B18="","",COUNTIFS(Match!$D:$D,$T$2,Match!$F:$F,$B18,Match!$H:$H,"L"))</f>
        <v>1</v>
      </c>
      <c r="F18" s="40">
        <f t="shared" si="2"/>
        <v>0</v>
      </c>
      <c r="H18" s="19" t="s">
        <v>122</v>
      </c>
      <c r="I18" s="29">
        <f>C11</f>
        <v>3</v>
      </c>
      <c r="J18" s="29">
        <f>COUNTIFS(Match!$D:$D,$T$2,Match!$G:$G,2,Match!$H:$H,"W")</f>
        <v>1</v>
      </c>
      <c r="K18" s="40">
        <f t="shared" si="3"/>
        <v>0.3333333333</v>
      </c>
    </row>
    <row r="19">
      <c r="B19" s="19" t="s">
        <v>121</v>
      </c>
      <c r="C19" s="29">
        <f>IF($B19="","",COUNTIFS(Match!$D:$D,$T$2,Match!$F:$F,$B19))</f>
        <v>1</v>
      </c>
      <c r="D19" s="29">
        <f>IF($B19="","",COUNTIFS(Match!$D:$D,$T$2,Match!$F:$F,$B19,Match!$H:$H,"W"))</f>
        <v>1</v>
      </c>
      <c r="E19" s="29">
        <f>IF($B19="","",COUNTIFS(Match!$D:$D,$T$2,Match!$F:$F,$B19,Match!$H:$H,"L"))</f>
        <v>0</v>
      </c>
      <c r="F19" s="40">
        <f t="shared" si="2"/>
        <v>1</v>
      </c>
      <c r="N19" s="26"/>
    </row>
    <row r="20">
      <c r="B20" s="19" t="s">
        <v>92</v>
      </c>
      <c r="C20" s="29">
        <f>IF($B20="","",COUNTIFS(Match!$D:$D,$T$2,Match!$F:$F,$B20))</f>
        <v>1</v>
      </c>
      <c r="D20" s="29">
        <f>IF($B20="","",COUNTIFS(Match!$D:$D,$T$2,Match!$F:$F,$B20,Match!$H:$H,"W"))</f>
        <v>0</v>
      </c>
      <c r="E20" s="29">
        <f>IF($B20="","",COUNTIFS(Match!$D:$D,$T$2,Match!$F:$F,$B20,Match!$H:$H,"L"))</f>
        <v>1</v>
      </c>
      <c r="F20" s="40">
        <f t="shared" si="2"/>
        <v>0</v>
      </c>
      <c r="N20" s="26"/>
    </row>
    <row r="21" ht="15.75" customHeight="1">
      <c r="B21" s="19" t="s">
        <v>77</v>
      </c>
      <c r="C21" s="29">
        <f>IF($B21="","",COUNTIFS(Match!$D:$D,$T$2,Match!$F:$F,$B21))</f>
        <v>1</v>
      </c>
      <c r="D21" s="29">
        <f>IF($B21="","",COUNTIFS(Match!$D:$D,$T$2,Match!$F:$F,$B21,Match!$H:$H,"W"))</f>
        <v>1</v>
      </c>
      <c r="E21" s="29">
        <f>IF($B21="","",COUNTIFS(Match!$D:$D,$T$2,Match!$F:$F,$B21,Match!$H:$H,"L"))</f>
        <v>0</v>
      </c>
      <c r="F21" s="40">
        <f t="shared" si="2"/>
        <v>1</v>
      </c>
      <c r="N21" s="26"/>
    </row>
    <row r="22" ht="15.75" customHeight="1">
      <c r="B22" s="19" t="s">
        <v>83</v>
      </c>
      <c r="C22" s="29">
        <f>IF($B22="","",COUNTIFS(Match!$D:$D,$T$2,Match!$F:$F,$B22))</f>
        <v>4</v>
      </c>
      <c r="D22" s="29">
        <f>IF($B22="","",COUNTIFS(Match!$D:$D,$T$2,Match!$F:$F,$B22,Match!$H:$H,"W"))</f>
        <v>2</v>
      </c>
      <c r="E22" s="29">
        <f>IF($B22="","",COUNTIFS(Match!$D:$D,$T$2,Match!$F:$F,$B22,Match!$H:$H,"L"))</f>
        <v>2</v>
      </c>
      <c r="F22" s="40">
        <f t="shared" si="2"/>
        <v>0.5</v>
      </c>
      <c r="N22" s="26"/>
    </row>
    <row r="23" ht="15.75" customHeight="1">
      <c r="B23" s="19" t="s">
        <v>124</v>
      </c>
      <c r="C23" s="29">
        <f>IF($B23="","",COUNTIFS(Match!$D:$D,$T$2,Match!$F:$F,$B23))</f>
        <v>1</v>
      </c>
      <c r="D23" s="29">
        <f>IF($B23="","",COUNTIFS(Match!$D:$D,$T$2,Match!$F:$F,$B23,Match!$H:$H,"W"))</f>
        <v>0</v>
      </c>
      <c r="E23" s="29">
        <f>IF($B23="","",COUNTIFS(Match!$D:$D,$T$2,Match!$F:$F,$B23,Match!$H:$H,"L"))</f>
        <v>1</v>
      </c>
      <c r="F23" s="40">
        <f t="shared" si="2"/>
        <v>0</v>
      </c>
      <c r="N23" s="26"/>
    </row>
    <row r="24" ht="15.75" customHeight="1">
      <c r="B24" s="19" t="s">
        <v>106</v>
      </c>
      <c r="C24" s="29">
        <f>IF($B24="","",COUNTIFS(Match!$D:$D,$T$2,Match!$F:$F,$B24))</f>
        <v>2</v>
      </c>
      <c r="D24" s="29">
        <f>IF($B24="","",COUNTIFS(Match!$D:$D,$T$2,Match!$F:$F,$B24,Match!$H:$H,"W"))</f>
        <v>1</v>
      </c>
      <c r="E24" s="29">
        <f>IF($B24="","",COUNTIFS(Match!$D:$D,$T$2,Match!$F:$F,$B24,Match!$H:$H,"L"))</f>
        <v>1</v>
      </c>
      <c r="F24" s="40">
        <f t="shared" si="2"/>
        <v>0.5</v>
      </c>
      <c r="N24" s="26"/>
    </row>
    <row r="25" ht="15.75" customHeight="1">
      <c r="B25" s="19" t="s">
        <v>126</v>
      </c>
      <c r="C25" s="29">
        <f>IF($B25="","",COUNTIFS(Match!$D:$D,$T$2,Match!$F:$F,$B25))</f>
        <v>1</v>
      </c>
      <c r="D25" s="29">
        <f>IF($B25="","",COUNTIFS(Match!$D:$D,$T$2,Match!$F:$F,$B25,Match!$H:$H,"W"))</f>
        <v>1</v>
      </c>
      <c r="E25" s="29">
        <f>IF($B25="","",COUNTIFS(Match!$D:$D,$T$2,Match!$F:$F,$B25,Match!$H:$H,"L"))</f>
        <v>0</v>
      </c>
      <c r="F25" s="40">
        <f t="shared" si="2"/>
        <v>1</v>
      </c>
      <c r="N25" s="26"/>
    </row>
    <row r="26" ht="15.75" customHeight="1">
      <c r="B26" s="19" t="s">
        <v>80</v>
      </c>
      <c r="C26" s="29">
        <f>IF($B26="","",COUNTIFS(Match!$D:$D,$T$2,Match!$F:$F,$B26))</f>
        <v>1</v>
      </c>
      <c r="D26" s="29">
        <f>IF($B26="","",COUNTIFS(Match!$D:$D,$T$2,Match!$F:$F,$B26,Match!$H:$H,"W"))</f>
        <v>0</v>
      </c>
      <c r="E26" s="29">
        <f>IF($B26="","",COUNTIFS(Match!$D:$D,$T$2,Match!$F:$F,$B26,Match!$H:$H,"L"))</f>
        <v>1</v>
      </c>
      <c r="F26" s="40">
        <f t="shared" si="2"/>
        <v>0</v>
      </c>
      <c r="N26" s="26"/>
    </row>
    <row r="27" ht="15.75" customHeight="1">
      <c r="B27" s="19" t="s">
        <v>140</v>
      </c>
      <c r="C27" s="29">
        <f>IF($B27="","",COUNTIFS(Match!$D:$D,$T$2,Match!$F:$F,$B27))</f>
        <v>1</v>
      </c>
      <c r="D27" s="29">
        <f>IF($B27="","",COUNTIFS(Match!$D:$D,$T$2,Match!$F:$F,$B27,Match!$H:$H,"W"))</f>
        <v>1</v>
      </c>
      <c r="E27" s="29">
        <f>IF($B27="","",COUNTIFS(Match!$D:$D,$T$2,Match!$F:$F,$B27,Match!$H:$H,"L"))</f>
        <v>0</v>
      </c>
      <c r="F27" s="40">
        <f t="shared" si="2"/>
        <v>1</v>
      </c>
      <c r="N27" s="26"/>
    </row>
    <row r="28" ht="15.75" customHeight="1">
      <c r="B28" s="19" t="s">
        <v>141</v>
      </c>
      <c r="C28" s="29">
        <f>IF($B28="","",COUNTIFS(Match!$D:$D,$T$2,Match!$F:$F,$B28))</f>
        <v>1</v>
      </c>
      <c r="D28" s="29">
        <f>IF($B28="","",COUNTIFS(Match!$D:$D,$T$2,Match!$F:$F,$B28,Match!$H:$H,"W"))</f>
        <v>1</v>
      </c>
      <c r="E28" s="29">
        <f>IF($B28="","",COUNTIFS(Match!$D:$D,$T$2,Match!$F:$F,$B28,Match!$H:$H,"L"))</f>
        <v>0</v>
      </c>
      <c r="F28" s="40">
        <f t="shared" si="2"/>
        <v>1</v>
      </c>
      <c r="N28" s="26"/>
    </row>
    <row r="29" ht="15.75" customHeight="1">
      <c r="B29" s="19" t="s">
        <v>71</v>
      </c>
      <c r="C29" s="29">
        <f>IF($B29="","",COUNTIFS(Match!$D:$D,$T$2,Match!$F:$F,$B29))</f>
        <v>2</v>
      </c>
      <c r="D29" s="29">
        <f>IF($B29="","",COUNTIFS(Match!$D:$D,$T$2,Match!$F:$F,$B29,Match!$H:$H,"W"))</f>
        <v>2</v>
      </c>
      <c r="E29" s="29">
        <f>IF($B29="","",COUNTIFS(Match!$D:$D,$T$2,Match!$F:$F,$B29,Match!$H:$H,"L"))</f>
        <v>0</v>
      </c>
      <c r="F29" s="40">
        <f t="shared" si="2"/>
        <v>1</v>
      </c>
      <c r="N29" s="26"/>
    </row>
    <row r="30" ht="15.75" customHeight="1">
      <c r="B30" s="19" t="s">
        <v>65</v>
      </c>
      <c r="C30" s="29">
        <f>IF($B30="","",COUNTIFS(Match!$D:$D,$T$2,Match!$F:$F,$B30))</f>
        <v>2</v>
      </c>
      <c r="D30" s="29">
        <f>IF($B30="","",COUNTIFS(Match!$D:$D,$T$2,Match!$F:$F,$B30,Match!$H:$H,"W"))</f>
        <v>2</v>
      </c>
      <c r="E30" s="29">
        <f>IF($B30="","",COUNTIFS(Match!$D:$D,$T$2,Match!$F:$F,$B30,Match!$H:$H,"L"))</f>
        <v>0</v>
      </c>
      <c r="F30" s="40">
        <f t="shared" si="2"/>
        <v>1</v>
      </c>
      <c r="N30" s="26"/>
    </row>
    <row r="31" ht="15.75" customHeight="1">
      <c r="B31" s="19" t="s">
        <v>144</v>
      </c>
      <c r="C31" s="29">
        <f>IF($B31="","",COUNTIFS(Match!$D:$D,$T$2,Match!$F:$F,$B31))</f>
        <v>1</v>
      </c>
      <c r="D31" s="29">
        <f>IF($B31="","",COUNTIFS(Match!$D:$D,$T$2,Match!$F:$F,$B31,Match!$H:$H,"W"))</f>
        <v>0</v>
      </c>
      <c r="E31" s="29">
        <f>IF($B31="","",COUNTIFS(Match!$D:$D,$T$2,Match!$F:$F,$B31,Match!$H:$H,"L"))</f>
        <v>1</v>
      </c>
      <c r="F31" s="40">
        <f t="shared" si="2"/>
        <v>0</v>
      </c>
      <c r="N31" s="26"/>
    </row>
    <row r="32" ht="15.75" customHeight="1">
      <c r="B32" s="19" t="s">
        <v>135</v>
      </c>
      <c r="C32" s="29">
        <f>IF($B32="","",COUNTIFS(Match!$D:$D,$T$2,Match!$F:$F,$B32))</f>
        <v>1</v>
      </c>
      <c r="D32" s="29">
        <f>IF($B32="","",COUNTIFS(Match!$D:$D,$T$2,Match!$F:$F,$B32,Match!$H:$H,"W"))</f>
        <v>1</v>
      </c>
      <c r="E32" s="29">
        <f>IF($B32="","",COUNTIFS(Match!$D:$D,$T$2,Match!$F:$F,$B32,Match!$H:$H,"L"))</f>
        <v>0</v>
      </c>
      <c r="F32" s="40">
        <f t="shared" si="2"/>
        <v>1</v>
      </c>
      <c r="N32" s="26"/>
    </row>
    <row r="33" ht="15.75" customHeight="1">
      <c r="B33" s="19"/>
      <c r="C33" s="29" t="str">
        <f>IF($B33="","",COUNTIFS(Match!$D:$D,$T$2,Match!$F:$F,$B33))</f>
        <v/>
      </c>
      <c r="D33" s="29" t="str">
        <f>IF($B33="","",COUNTIFS(Match!$D:$D,$T$2,Match!$F:$F,$B33,Match!$H:$H,"W"))</f>
        <v/>
      </c>
      <c r="E33" s="29" t="str">
        <f>IF($B33="","",COUNTIFS(Match!$D:$D,$T$2,Match!$F:$F,$B33,Match!$H:$H,"L"))</f>
        <v/>
      </c>
      <c r="F33" s="40" t="str">
        <f t="shared" si="2"/>
        <v/>
      </c>
      <c r="N33" s="26"/>
    </row>
    <row r="34" ht="15.75" customHeight="1">
      <c r="B34" s="19"/>
      <c r="C34" s="29" t="str">
        <f>IF($B34="","",COUNTIFS(Match!$D:$D,$T$2,Match!$F:$F,$B34))</f>
        <v/>
      </c>
      <c r="D34" s="29" t="str">
        <f>IF($B34="","",COUNTIFS(Match!$D:$D,$T$2,Match!$F:$F,$B34,Match!$H:$H,"W"))</f>
        <v/>
      </c>
      <c r="E34" s="29" t="str">
        <f>IF($B34="","",COUNTIFS(Match!$D:$D,$T$2,Match!$F:$F,$B34,Match!$H:$H,"L"))</f>
        <v/>
      </c>
      <c r="F34" s="40" t="str">
        <f t="shared" si="2"/>
        <v/>
      </c>
      <c r="N34" s="26"/>
    </row>
    <row r="35" ht="15.75" customHeight="1">
      <c r="B35" s="19"/>
      <c r="C35" s="29" t="str">
        <f>IF($B35="","",COUNTIFS(Match!$D:$D,$T$2,Match!$F:$F,$B35))</f>
        <v/>
      </c>
      <c r="D35" s="29" t="str">
        <f>IF($B35="","",COUNTIFS(Match!$D:$D,$T$2,Match!$F:$F,$B35,Match!$H:$H,"W"))</f>
        <v/>
      </c>
      <c r="E35" s="29" t="str">
        <f>IF($B35="","",COUNTIFS(Match!$D:$D,$T$2,Match!$F:$F,$B35,Match!$H:$H,"L"))</f>
        <v/>
      </c>
      <c r="F35" s="40" t="str">
        <f t="shared" si="2"/>
        <v/>
      </c>
      <c r="N35" s="26"/>
    </row>
    <row r="36" ht="15.75" customHeight="1">
      <c r="B36" s="19"/>
      <c r="C36" s="29" t="str">
        <f>IF($B36="","",COUNTIFS(Match!$D:$D,$T$2,Match!$F:$F,$B36))</f>
        <v/>
      </c>
      <c r="D36" s="29" t="str">
        <f>IF($B36="","",COUNTIFS(Match!$D:$D,$T$2,Match!$F:$F,$B36,Match!$H:$H,"W"))</f>
        <v/>
      </c>
      <c r="E36" s="29" t="str">
        <f>IF($B36="","",COUNTIFS(Match!$D:$D,$T$2,Match!$F:$F,$B36,Match!$H:$H,"L"))</f>
        <v/>
      </c>
      <c r="F36" s="40" t="str">
        <f t="shared" si="2"/>
        <v/>
      </c>
      <c r="N36" s="26"/>
    </row>
    <row r="37" ht="15.75" customHeight="1">
      <c r="B37" s="19"/>
      <c r="C37" s="29" t="str">
        <f>IF($B37="","",COUNTIFS(Match!$D:$D,$T$2,Match!$F:$F,$B37))</f>
        <v/>
      </c>
      <c r="D37" s="29" t="str">
        <f>IF($B37="","",COUNTIFS(Match!$D:$D,$T$2,Match!$F:$F,$B37,Match!$H:$H,"W"))</f>
        <v/>
      </c>
      <c r="E37" s="29" t="str">
        <f>IF($B37="","",COUNTIFS(Match!$D:$D,$T$2,Match!$F:$F,$B37,Match!$H:$H,"L"))</f>
        <v/>
      </c>
      <c r="F37" s="40" t="str">
        <f t="shared" si="2"/>
        <v/>
      </c>
      <c r="N37" s="26"/>
    </row>
    <row r="38" ht="15.75" customHeight="1">
      <c r="B38" s="19"/>
      <c r="C38" s="29" t="str">
        <f>IF($B38="","",COUNTIFS(Match!$D:$D,$T$2,Match!$F:$F,$B38))</f>
        <v/>
      </c>
      <c r="D38" s="29" t="str">
        <f>IF($B38="","",COUNTIFS(Match!$D:$D,$T$2,Match!$F:$F,$B38,Match!$H:$H,"W"))</f>
        <v/>
      </c>
      <c r="E38" s="29" t="str">
        <f>IF($B38="","",COUNTIFS(Match!$D:$D,$T$2,Match!$F:$F,$B38,Match!$H:$H,"L"))</f>
        <v/>
      </c>
      <c r="F38" s="40" t="str">
        <f t="shared" si="2"/>
        <v/>
      </c>
      <c r="N38" s="26"/>
    </row>
    <row r="39" ht="15.75" customHeight="1">
      <c r="B39" s="19"/>
      <c r="C39" s="29" t="str">
        <f>IF($B39="","",COUNTIFS(Match!$D:$D,$T$2,Match!$F:$F,$B39))</f>
        <v/>
      </c>
      <c r="D39" s="29" t="str">
        <f>IF($B39="","",COUNTIFS(Match!$D:$D,$T$2,Match!$F:$F,$B39,Match!$H:$H,"W"))</f>
        <v/>
      </c>
      <c r="E39" s="29" t="str">
        <f>IF($B39="","",COUNTIFS(Match!$D:$D,$T$2,Match!$F:$F,$B39,Match!$H:$H,"L"))</f>
        <v/>
      </c>
      <c r="F39" s="40" t="str">
        <f t="shared" si="2"/>
        <v/>
      </c>
      <c r="N39" s="26"/>
    </row>
    <row r="40" ht="15.75" customHeight="1">
      <c r="B40" s="19"/>
      <c r="C40" s="29" t="str">
        <f>IF($B40="","",COUNTIFS(Match!$D:$D,$T$2,Match!$F:$F,$B40))</f>
        <v/>
      </c>
      <c r="D40" s="29" t="str">
        <f>IF($B40="","",COUNTIFS(Match!$D:$D,$T$2,Match!$F:$F,$B40,Match!$H:$H,"W"))</f>
        <v/>
      </c>
      <c r="E40" s="29" t="str">
        <f>IF($B40="","",COUNTIFS(Match!$D:$D,$T$2,Match!$F:$F,$B40,Match!$H:$H,"L"))</f>
        <v/>
      </c>
      <c r="F40" s="40" t="str">
        <f t="shared" si="2"/>
        <v/>
      </c>
      <c r="N40" s="26"/>
    </row>
    <row r="41" ht="15.75" customHeight="1">
      <c r="B41" s="19"/>
      <c r="C41" s="29" t="str">
        <f>IF($B41="","",COUNTIFS(Match!$D:$D,$T$2,Match!$F:$F,$B41))</f>
        <v/>
      </c>
      <c r="D41" s="29" t="str">
        <f>IF($B41="","",COUNTIFS(Match!$D:$D,$T$2,Match!$F:$F,$B41,Match!$H:$H,"W"))</f>
        <v/>
      </c>
      <c r="E41" s="29" t="str">
        <f>IF($B41="","",COUNTIFS(Match!$D:$D,$T$2,Match!$F:$F,$B41,Match!$H:$H,"L"))</f>
        <v/>
      </c>
      <c r="F41" s="40" t="str">
        <f t="shared" si="2"/>
        <v/>
      </c>
      <c r="N41" s="26"/>
    </row>
    <row r="42" ht="15.75" customHeight="1">
      <c r="B42" s="19"/>
      <c r="C42" s="29" t="str">
        <f>IF($B42="","",COUNTIFS(Match!$D:$D,$T$2,Match!$F:$F,$B42))</f>
        <v/>
      </c>
      <c r="D42" s="29" t="str">
        <f>IF($B42="","",COUNTIFS(Match!$D:$D,$T$2,Match!$F:$F,$B42,Match!$H:$H,"W"))</f>
        <v/>
      </c>
      <c r="E42" s="29" t="str">
        <f>IF($B42="","",COUNTIFS(Match!$D:$D,$T$2,Match!$F:$F,$B42,Match!$H:$H,"L"))</f>
        <v/>
      </c>
      <c r="F42" s="40" t="str">
        <f t="shared" si="2"/>
        <v/>
      </c>
      <c r="N42" s="26"/>
    </row>
    <row r="43" ht="15.75" customHeight="1">
      <c r="B43" s="19"/>
      <c r="C43" s="29" t="str">
        <f>IF($B43="","",COUNTIFS(Match!$D:$D,$T$2,Match!$F:$F,$B43))</f>
        <v/>
      </c>
      <c r="D43" s="29" t="str">
        <f>IF($B43="","",COUNTIFS(Match!$D:$D,$T$2,Match!$F:$F,$B43,Match!$H:$H,"W"))</f>
        <v/>
      </c>
      <c r="E43" s="29" t="str">
        <f>IF($B43="","",COUNTIFS(Match!$D:$D,$T$2,Match!$F:$F,$B43,Match!$H:$H,"L"))</f>
        <v/>
      </c>
      <c r="F43" s="40" t="str">
        <f t="shared" si="2"/>
        <v/>
      </c>
      <c r="N43" s="26"/>
    </row>
    <row r="44" ht="15.75" customHeight="1">
      <c r="B44" s="19"/>
      <c r="C44" s="29" t="str">
        <f>IF($B44="","",COUNTIFS(Match!$D:$D,$T$2,Match!$F:$F,$B44))</f>
        <v/>
      </c>
      <c r="D44" s="29" t="str">
        <f>IF($B44="","",COUNTIFS(Match!$D:$D,$T$2,Match!$F:$F,$B44,Match!$H:$H,"W"))</f>
        <v/>
      </c>
      <c r="E44" s="29" t="str">
        <f>IF($B44="","",COUNTIFS(Match!$D:$D,$T$2,Match!$F:$F,$B44,Match!$H:$H,"L"))</f>
        <v/>
      </c>
      <c r="F44" s="40" t="str">
        <f t="shared" si="2"/>
        <v/>
      </c>
      <c r="N44" s="26"/>
    </row>
    <row r="45" ht="15.75" customHeight="1">
      <c r="B45" s="19"/>
      <c r="C45" s="29" t="str">
        <f>IF($B45="","",COUNTIFS(Match!$D:$D,$T$2,Match!$F:$F,$B45))</f>
        <v/>
      </c>
      <c r="D45" s="29" t="str">
        <f>IF($B45="","",COUNTIFS(Match!$D:$D,$T$2,Match!$F:$F,$B45,Match!$H:$H,"W"))</f>
        <v/>
      </c>
      <c r="E45" s="29" t="str">
        <f>IF($B45="","",COUNTIFS(Match!$D:$D,$T$2,Match!$F:$F,$B45,Match!$H:$H,"L"))</f>
        <v/>
      </c>
      <c r="F45" s="40" t="str">
        <f t="shared" si="2"/>
        <v/>
      </c>
      <c r="N45" s="26"/>
    </row>
    <row r="46" ht="15.75" customHeight="1">
      <c r="B46" s="19"/>
      <c r="C46" s="29" t="str">
        <f>IF($B46="","",COUNTIFS(Match!$D:$D,$T$2,Match!$F:$F,$B46))</f>
        <v/>
      </c>
      <c r="D46" s="29" t="str">
        <f>IF($B46="","",COUNTIFS(Match!$D:$D,$T$2,Match!$F:$F,$B46,Match!$H:$H,"W"))</f>
        <v/>
      </c>
      <c r="E46" s="29" t="str">
        <f>IF($B46="","",COUNTIFS(Match!$D:$D,$T$2,Match!$F:$F,$B46,Match!$H:$H,"L"))</f>
        <v/>
      </c>
      <c r="F46" s="40" t="str">
        <f t="shared" si="2"/>
        <v/>
      </c>
      <c r="N46" s="26"/>
    </row>
    <row r="47" ht="15.75" customHeight="1">
      <c r="B47" s="19"/>
      <c r="C47" s="29" t="str">
        <f>IF($B47="","",COUNTIFS(Match!$D:$D,$T$2,Match!$F:$F,$B47))</f>
        <v/>
      </c>
      <c r="D47" s="29" t="str">
        <f>IF($B47="","",COUNTIFS(Match!$D:$D,$T$2,Match!$F:$F,$B47,Match!$H:$H,"W"))</f>
        <v/>
      </c>
      <c r="E47" s="29" t="str">
        <f>IF($B47="","",COUNTIFS(Match!$D:$D,$T$2,Match!$F:$F,$B47,Match!$H:$H,"L"))</f>
        <v/>
      </c>
      <c r="F47" s="40" t="str">
        <f t="shared" si="2"/>
        <v/>
      </c>
      <c r="N47" s="26"/>
    </row>
    <row r="48" ht="15.75" customHeight="1">
      <c r="N48" s="26"/>
    </row>
    <row r="49" ht="15.75" customHeight="1">
      <c r="N49" s="26"/>
    </row>
    <row r="50" ht="15.75" customHeight="1">
      <c r="N50" s="26"/>
    </row>
    <row r="51" ht="15.75" customHeight="1">
      <c r="N51" s="26"/>
    </row>
    <row r="52" ht="15.75" customHeight="1">
      <c r="N52" s="26"/>
    </row>
    <row r="53" ht="15.75" customHeight="1">
      <c r="N53" s="26"/>
    </row>
    <row r="54" ht="15.75" customHeight="1">
      <c r="N54" s="26"/>
    </row>
    <row r="55" ht="15.75" customHeight="1">
      <c r="N55" s="26"/>
    </row>
    <row r="56" ht="15.75" customHeight="1">
      <c r="N56" s="26"/>
    </row>
    <row r="57" ht="15.75" customHeight="1">
      <c r="N57" s="26"/>
    </row>
    <row r="58" ht="15.75" customHeight="1">
      <c r="N58" s="26"/>
    </row>
    <row r="59" ht="15.75" customHeight="1">
      <c r="N59" s="26"/>
    </row>
    <row r="60" ht="15.75" customHeight="1">
      <c r="N60" s="26"/>
    </row>
    <row r="61" ht="15.75" customHeight="1">
      <c r="B61" s="47" t="s">
        <v>15</v>
      </c>
      <c r="C61" s="47" t="s">
        <v>32</v>
      </c>
      <c r="D61" s="47"/>
      <c r="N61" s="26"/>
    </row>
    <row r="62" ht="15.75" customHeight="1">
      <c r="B62" s="47" t="s">
        <v>83</v>
      </c>
      <c r="C62" s="47"/>
      <c r="D62" s="47"/>
      <c r="N62" s="26"/>
    </row>
    <row r="63" ht="15.75" customHeight="1">
      <c r="B63" s="47" t="s">
        <v>144</v>
      </c>
      <c r="C63" s="47"/>
      <c r="D63" s="47"/>
      <c r="N63" s="26"/>
    </row>
    <row r="64" ht="15.75" customHeight="1">
      <c r="B64" s="47" t="s">
        <v>106</v>
      </c>
      <c r="C64" s="47"/>
      <c r="D64" s="47"/>
      <c r="N64" s="26"/>
    </row>
    <row r="65" ht="15.75" customHeight="1">
      <c r="B65" s="47" t="s">
        <v>120</v>
      </c>
      <c r="C65" s="47"/>
      <c r="D65" s="47"/>
      <c r="N65" s="26"/>
    </row>
    <row r="66" ht="15.75" customHeight="1">
      <c r="B66" s="47" t="s">
        <v>71</v>
      </c>
      <c r="C66" s="47"/>
      <c r="D66" s="47"/>
      <c r="N66" s="26"/>
    </row>
    <row r="67" ht="15.75" customHeight="1">
      <c r="B67" s="47"/>
      <c r="C67" s="47" t="s">
        <v>143</v>
      </c>
      <c r="D67" s="47"/>
      <c r="N67" s="26"/>
    </row>
    <row r="68" ht="15.75" customHeight="1">
      <c r="B68" s="47" t="s">
        <v>140</v>
      </c>
      <c r="C68" s="47"/>
      <c r="D68" s="47"/>
      <c r="N68" s="26"/>
    </row>
    <row r="69" ht="15.75" customHeight="1">
      <c r="B69" s="47" t="s">
        <v>124</v>
      </c>
      <c r="C69" s="47"/>
      <c r="D69" s="47"/>
      <c r="N69" s="26"/>
    </row>
    <row r="70" ht="15.75" customHeight="1">
      <c r="B70" s="47" t="s">
        <v>65</v>
      </c>
      <c r="C70" s="47"/>
      <c r="D70" s="47"/>
      <c r="N70" s="26"/>
    </row>
    <row r="71" ht="15.75" customHeight="1">
      <c r="B71" s="47"/>
      <c r="C71" s="47" t="s">
        <v>142</v>
      </c>
      <c r="D71" s="47"/>
      <c r="N71" s="26"/>
    </row>
    <row r="72" ht="15.75" customHeight="1">
      <c r="B72" s="47" t="s">
        <v>118</v>
      </c>
      <c r="C72" s="47"/>
      <c r="D72" s="47"/>
      <c r="N72" s="26"/>
    </row>
    <row r="73" ht="15.75" customHeight="1">
      <c r="B73" s="47" t="s">
        <v>135</v>
      </c>
      <c r="C73" s="47"/>
      <c r="D73" s="47"/>
      <c r="N73" s="26"/>
    </row>
    <row r="74" ht="15.75" customHeight="1">
      <c r="B74" s="47" t="s">
        <v>132</v>
      </c>
      <c r="C74" s="47"/>
      <c r="D74" s="47"/>
      <c r="N74" s="26"/>
    </row>
    <row r="75" ht="15.75" customHeight="1">
      <c r="B75" s="47" t="s">
        <v>141</v>
      </c>
      <c r="C75" s="47"/>
      <c r="D75" s="47"/>
    </row>
    <row r="76" ht="15.75" customHeight="1">
      <c r="B76" s="47" t="s">
        <v>92</v>
      </c>
      <c r="C76" s="47"/>
      <c r="D76" s="47"/>
    </row>
    <row r="77" ht="15.75" customHeight="1">
      <c r="B77" s="47" t="s">
        <v>121</v>
      </c>
      <c r="C77" s="47"/>
      <c r="D77" s="47"/>
    </row>
    <row r="78" ht="15.75" customHeight="1">
      <c r="B78" s="47" t="s">
        <v>77</v>
      </c>
      <c r="C78" s="47"/>
      <c r="D78" s="47"/>
    </row>
    <row r="79" ht="15.75" customHeight="1">
      <c r="B79" s="47" t="s">
        <v>126</v>
      </c>
      <c r="C79" s="47" t="s">
        <v>127</v>
      </c>
      <c r="D79" s="47"/>
    </row>
    <row r="80" ht="15.75" customHeight="1">
      <c r="B80" s="47" t="s">
        <v>80</v>
      </c>
      <c r="C80" s="47"/>
      <c r="D80" s="47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L2"/>
    <mergeCell ref="B4:C4"/>
    <mergeCell ref="F4:J4"/>
    <mergeCell ref="B15:F15"/>
    <mergeCell ref="H15:K15"/>
  </mergeCells>
  <conditionalFormatting sqref="C8">
    <cfRule type="colorScale" priority="1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conditionalFormatting sqref="F17:F47">
    <cfRule type="colorScale" priority="2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0"/>
    <col customWidth="1" min="2" max="2" width="24.0"/>
    <col customWidth="1" min="3" max="5" width="12.0"/>
    <col customWidth="1" min="6" max="6" width="14.0"/>
    <col customWidth="1" min="7" max="12" width="12.0"/>
    <col customWidth="1" min="13" max="13" width="8.63"/>
    <col customWidth="1" min="14" max="14" width="11.0"/>
    <col customWidth="1" min="15" max="26" width="8.63"/>
  </cols>
  <sheetData>
    <row r="1">
      <c r="T1" s="31" t="s">
        <v>84</v>
      </c>
    </row>
    <row r="2" ht="31.5" customHeight="1">
      <c r="B2" s="30" t="s">
        <v>172</v>
      </c>
      <c r="C2" s="6"/>
      <c r="D2" s="6"/>
      <c r="E2" s="6"/>
      <c r="F2" s="6"/>
      <c r="G2" s="6"/>
      <c r="H2" s="6"/>
      <c r="I2" s="6"/>
      <c r="J2" s="6"/>
      <c r="K2" s="6"/>
      <c r="L2" s="8"/>
      <c r="T2" s="31" t="s">
        <v>106</v>
      </c>
    </row>
    <row r="3">
      <c r="N3" s="49"/>
    </row>
    <row r="4" ht="15.75" customHeight="1">
      <c r="B4" s="34" t="s">
        <v>87</v>
      </c>
      <c r="C4" s="8"/>
      <c r="F4" s="34" t="s">
        <v>88</v>
      </c>
      <c r="G4" s="6"/>
      <c r="H4" s="6"/>
      <c r="I4" s="6"/>
      <c r="J4" s="8"/>
    </row>
    <row r="5">
      <c r="B5" s="36" t="s">
        <v>89</v>
      </c>
      <c r="C5" s="39">
        <f>COUNTIFS(Match!$D:$D,$T$2)</f>
        <v>3</v>
      </c>
      <c r="F5" s="11" t="s">
        <v>9</v>
      </c>
      <c r="G5" s="11" t="s">
        <v>95</v>
      </c>
      <c r="H5" s="11" t="s">
        <v>96</v>
      </c>
      <c r="I5" s="11" t="s">
        <v>97</v>
      </c>
      <c r="J5" s="11" t="s">
        <v>98</v>
      </c>
    </row>
    <row r="6">
      <c r="B6" s="36" t="s">
        <v>96</v>
      </c>
      <c r="C6" s="39">
        <f>COUNTIFS(Match!$D:$D,$T$2,Match!$H:$H,"W")</f>
        <v>0</v>
      </c>
      <c r="F6" s="19" t="s">
        <v>64</v>
      </c>
      <c r="G6" s="29">
        <f>IF($F6="","",COUNTIFS(Match!$D:$D,$T$2,Match!$C:$C,$F6))</f>
        <v>3</v>
      </c>
      <c r="H6" s="29">
        <f>IF($F6="","",COUNTIFS(Match!$D:$D,$T$2,Match!$C:$C,$F6,Match!$H:$H,"W"))</f>
        <v>0</v>
      </c>
      <c r="I6" s="29">
        <f>IF($F6="","",COUNTIFS(Match!$D:$D,$T$2,Match!$C:$C,$F6,Match!$H:$H,"L"))</f>
        <v>3</v>
      </c>
      <c r="J6" s="40">
        <f t="shared" ref="J6:J11" si="1">IF($F6="","",IFERROR(H6/G6,""))</f>
        <v>0</v>
      </c>
    </row>
    <row r="7">
      <c r="B7" s="36" t="s">
        <v>97</v>
      </c>
      <c r="C7" s="39">
        <f>COUNTIFS(Match!$D:$D,$T$2,Match!$H:$H,"L")</f>
        <v>3</v>
      </c>
      <c r="F7" s="19"/>
      <c r="G7" s="29" t="str">
        <f>IF($F7="","",COUNTIFS(Match!$D:$D,$T$2,Match!$C:$C,$F7))</f>
        <v/>
      </c>
      <c r="H7" s="29" t="str">
        <f>IF($F7="","",COUNTIFS(Match!$D:$D,$T$2,Match!$C:$C,$F7,Match!$H:$H,"W"))</f>
        <v/>
      </c>
      <c r="I7" s="29" t="str">
        <f>IF($F7="","",COUNTIFS(Match!$D:$D,$T$2,Match!$C:$C,$F7,Match!$H:$H,"L"))</f>
        <v/>
      </c>
      <c r="J7" s="40" t="str">
        <f t="shared" si="1"/>
        <v/>
      </c>
    </row>
    <row r="8">
      <c r="B8" s="36" t="s">
        <v>108</v>
      </c>
      <c r="C8" s="41">
        <f>IFERROR(C6/C5,"")</f>
        <v>0</v>
      </c>
      <c r="F8" s="19"/>
      <c r="G8" s="29" t="str">
        <f>IF($F8="","",COUNTIFS(Match!$D:$D,$T$2,Match!$C:$C,$F8))</f>
        <v/>
      </c>
      <c r="H8" s="29" t="str">
        <f>IF($F8="","",COUNTIFS(Match!$D:$D,$T$2,Match!$C:$C,$F8,Match!$H:$H,"W"))</f>
        <v/>
      </c>
      <c r="I8" s="29" t="str">
        <f>IF($F8="","",COUNTIFS(Match!$D:$D,$T$2,Match!$C:$C,$F8,Match!$H:$H,"L"))</f>
        <v/>
      </c>
      <c r="J8" s="40" t="str">
        <f t="shared" si="1"/>
        <v/>
      </c>
    </row>
    <row r="9">
      <c r="B9" s="36" t="s">
        <v>109</v>
      </c>
      <c r="C9" s="39">
        <f>COUNTIFS(Match!$D:$D,$T$2,Match!$G:$G,1)</f>
        <v>3</v>
      </c>
      <c r="F9" s="19"/>
      <c r="G9" s="29" t="str">
        <f>IF($F9="","",COUNTIFS(Match!$D:$D,$T$2,Match!$C:$C,$F9))</f>
        <v/>
      </c>
      <c r="H9" s="29" t="str">
        <f>IF($F9="","",COUNTIFS(Match!$D:$D,$T$2,Match!$C:$C,$F9,Match!$H:$H,"W"))</f>
        <v/>
      </c>
      <c r="I9" s="29" t="str">
        <f>IF($F9="","",COUNTIFS(Match!$D:$D,$T$2,Match!$C:$C,$F9,Match!$H:$H,"L"))</f>
        <v/>
      </c>
      <c r="J9" s="40" t="str">
        <f t="shared" si="1"/>
        <v/>
      </c>
    </row>
    <row r="10">
      <c r="B10" s="36" t="s">
        <v>102</v>
      </c>
      <c r="C10" s="41">
        <f>IFERROR(COUNTIFS(Match!$D:$D,$T$2,Match!$G:$G,1,Match!$H:$H,"W")/C9,"")</f>
        <v>0</v>
      </c>
      <c r="F10" s="19"/>
      <c r="G10" s="29" t="str">
        <f>IF($F10="","",COUNTIFS(Match!$D:$D,$T$2,Match!$C:$C,$F10))</f>
        <v/>
      </c>
      <c r="H10" s="29" t="str">
        <f>IF($F10="","",COUNTIFS(Match!$D:$D,$T$2,Match!$C:$C,$F10,Match!$H:$H,"W"))</f>
        <v/>
      </c>
      <c r="I10" s="29" t="str">
        <f>IF($F10="","",COUNTIFS(Match!$D:$D,$T$2,Match!$C:$C,$F10,Match!$H:$H,"L"))</f>
        <v/>
      </c>
      <c r="J10" s="40" t="str">
        <f t="shared" si="1"/>
        <v/>
      </c>
    </row>
    <row r="11">
      <c r="B11" s="36" t="s">
        <v>113</v>
      </c>
      <c r="C11" s="39">
        <f>COUNTIFS(Match!$D:$D,$T$2,Match!$G:$G,2)</f>
        <v>0</v>
      </c>
      <c r="F11" s="19"/>
      <c r="G11" s="29" t="str">
        <f>IF($F11="","",COUNTIFS(Match!$D:$D,$T$2,Match!$C:$C,$F11))</f>
        <v/>
      </c>
      <c r="H11" s="29" t="str">
        <f>IF($F11="","",COUNTIFS(Match!$D:$D,$T$2,Match!$C:$C,$F11,Match!$H:$H,"W"))</f>
        <v/>
      </c>
      <c r="I11" s="29" t="str">
        <f>IF($F11="","",COUNTIFS(Match!$D:$D,$T$2,Match!$C:$C,$F11,Match!$H:$H,"L"))</f>
        <v/>
      </c>
      <c r="J11" s="40" t="str">
        <f t="shared" si="1"/>
        <v/>
      </c>
    </row>
    <row r="12">
      <c r="B12" s="36" t="s">
        <v>103</v>
      </c>
      <c r="C12" s="41" t="str">
        <f>IFERROR(COUNTIFS(Match!$D:$D,$T$2,Match!$G:$G,2,Match!$H:$H,"W")/C11,"")</f>
        <v/>
      </c>
    </row>
    <row r="15" ht="15.75" customHeight="1">
      <c r="B15" s="34" t="s">
        <v>115</v>
      </c>
      <c r="C15" s="6"/>
      <c r="D15" s="6"/>
      <c r="E15" s="6"/>
      <c r="F15" s="8"/>
      <c r="H15" s="34" t="s">
        <v>116</v>
      </c>
      <c r="I15" s="6"/>
      <c r="J15" s="6"/>
      <c r="K15" s="8"/>
    </row>
    <row r="16">
      <c r="B16" s="11" t="s">
        <v>117</v>
      </c>
      <c r="C16" s="11" t="s">
        <v>95</v>
      </c>
      <c r="D16" s="11" t="s">
        <v>96</v>
      </c>
      <c r="E16" s="11" t="s">
        <v>97</v>
      </c>
      <c r="F16" s="11" t="s">
        <v>98</v>
      </c>
      <c r="H16" s="11" t="s">
        <v>54</v>
      </c>
      <c r="I16" s="11" t="s">
        <v>95</v>
      </c>
      <c r="J16" s="11" t="s">
        <v>96</v>
      </c>
      <c r="K16" s="11" t="s">
        <v>98</v>
      </c>
    </row>
    <row r="17">
      <c r="B17" s="19" t="s">
        <v>71</v>
      </c>
      <c r="C17" s="29">
        <f>IF($B17="","",COUNTIFS(Match!$D:$D,$T$2,Match!$F:$F,$B17))</f>
        <v>3</v>
      </c>
      <c r="D17" s="29">
        <f>IF($B17="","",COUNTIFS(Match!$D:$D,$T$2,Match!$F:$F,$B17,Match!$H:$H,"W"))</f>
        <v>0</v>
      </c>
      <c r="E17" s="29">
        <f>IF($B17="","",COUNTIFS(Match!$D:$D,$T$2,Match!$F:$F,$B17,Match!$H:$H,"L"))</f>
        <v>3</v>
      </c>
      <c r="F17" s="40">
        <f t="shared" ref="F17:F32" si="2">IF($B17="","",IFERROR(D17/C17,""))</f>
        <v>0</v>
      </c>
      <c r="H17" s="19" t="s">
        <v>119</v>
      </c>
      <c r="I17" s="29">
        <f>C9</f>
        <v>3</v>
      </c>
      <c r="J17" s="29">
        <f>COUNTIFS(Match!$D:$D,$T$2,Match!$G:$G,1,Match!$H:$H,"W")</f>
        <v>0</v>
      </c>
      <c r="K17" s="40">
        <f t="shared" ref="K17:K18" si="3">IFERROR(J17/I17,"")</f>
        <v>0</v>
      </c>
    </row>
    <row r="18">
      <c r="B18" s="19"/>
      <c r="C18" s="29" t="str">
        <f>IF($B18="","",COUNTIFS(Match!$D:$D,$T$2,Match!$F:$F,$B18))</f>
        <v/>
      </c>
      <c r="D18" s="29" t="str">
        <f>IF($B18="","",COUNTIFS(Match!$D:$D,$T$2,Match!$F:$F,$B18,Match!$H:$H,"W"))</f>
        <v/>
      </c>
      <c r="E18" s="29" t="str">
        <f>IF($B18="","",COUNTIFS(Match!$D:$D,$T$2,Match!$F:$F,$B18,Match!$H:$H,"L"))</f>
        <v/>
      </c>
      <c r="F18" s="40" t="str">
        <f t="shared" si="2"/>
        <v/>
      </c>
      <c r="H18" s="19" t="s">
        <v>122</v>
      </c>
      <c r="I18" s="29">
        <f>C11</f>
        <v>0</v>
      </c>
      <c r="J18" s="29">
        <f>COUNTIFS(Match!$D:$D,$T$2,Match!$G:$G,2,Match!$H:$H,"W")</f>
        <v>0</v>
      </c>
      <c r="K18" s="40" t="str">
        <f t="shared" si="3"/>
        <v/>
      </c>
    </row>
    <row r="19">
      <c r="B19" s="19"/>
      <c r="C19" s="29" t="str">
        <f>IF($B19="","",COUNTIFS(Match!$D:$D,$T$2,Match!$F:$F,$B19))</f>
        <v/>
      </c>
      <c r="D19" s="29" t="str">
        <f>IF($B19="","",COUNTIFS(Match!$D:$D,$T$2,Match!$F:$F,$B19,Match!$H:$H,"W"))</f>
        <v/>
      </c>
      <c r="E19" s="29" t="str">
        <f>IF($B19="","",COUNTIFS(Match!$D:$D,$T$2,Match!$F:$F,$B19,Match!$H:$H,"L"))</f>
        <v/>
      </c>
      <c r="F19" s="40" t="str">
        <f t="shared" si="2"/>
        <v/>
      </c>
    </row>
    <row r="20">
      <c r="B20" s="19"/>
      <c r="C20" s="29" t="str">
        <f>IF($B20="","",COUNTIFS(Match!$D:$D,$T$2,Match!$F:$F,$B20))</f>
        <v/>
      </c>
      <c r="D20" s="29" t="str">
        <f>IF($B20="","",COUNTIFS(Match!$D:$D,$T$2,Match!$F:$F,$B20,Match!$H:$H,"W"))</f>
        <v/>
      </c>
      <c r="E20" s="29" t="str">
        <f>IF($B20="","",COUNTIFS(Match!$D:$D,$T$2,Match!$F:$F,$B20,Match!$H:$H,"L"))</f>
        <v/>
      </c>
      <c r="F20" s="40" t="str">
        <f t="shared" si="2"/>
        <v/>
      </c>
    </row>
    <row r="21" ht="15.75" customHeight="1">
      <c r="B21" s="19"/>
      <c r="C21" s="29" t="str">
        <f>IF($B21="","",COUNTIFS(Match!$D:$D,$T$2,Match!$F:$F,$B21))</f>
        <v/>
      </c>
      <c r="D21" s="29" t="str">
        <f>IF($B21="","",COUNTIFS(Match!$D:$D,$T$2,Match!$F:$F,$B21,Match!$H:$H,"W"))</f>
        <v/>
      </c>
      <c r="E21" s="29" t="str">
        <f>IF($B21="","",COUNTIFS(Match!$D:$D,$T$2,Match!$F:$F,$B21,Match!$H:$H,"L"))</f>
        <v/>
      </c>
      <c r="F21" s="40" t="str">
        <f t="shared" si="2"/>
        <v/>
      </c>
    </row>
    <row r="22" ht="15.75" customHeight="1">
      <c r="B22" s="19"/>
      <c r="C22" s="29" t="str">
        <f>IF($B22="","",COUNTIFS(Match!$D:$D,$T$2,Match!$F:$F,$B22))</f>
        <v/>
      </c>
      <c r="D22" s="29" t="str">
        <f>IF($B22="","",COUNTIFS(Match!$D:$D,$T$2,Match!$F:$F,$B22,Match!$H:$H,"W"))</f>
        <v/>
      </c>
      <c r="E22" s="29" t="str">
        <f>IF($B22="","",COUNTIFS(Match!$D:$D,$T$2,Match!$F:$F,$B22,Match!$H:$H,"L"))</f>
        <v/>
      </c>
      <c r="F22" s="40" t="str">
        <f t="shared" si="2"/>
        <v/>
      </c>
    </row>
    <row r="23" ht="15.75" customHeight="1">
      <c r="B23" s="19"/>
      <c r="C23" s="29" t="str">
        <f>IF($B23="","",COUNTIFS(Match!$D:$D,$T$2,Match!$F:$F,$B23))</f>
        <v/>
      </c>
      <c r="D23" s="29" t="str">
        <f>IF($B23="","",COUNTIFS(Match!$D:$D,$T$2,Match!$F:$F,$B23,Match!$H:$H,"W"))</f>
        <v/>
      </c>
      <c r="E23" s="29" t="str">
        <f>IF($B23="","",COUNTIFS(Match!$D:$D,$T$2,Match!$F:$F,$B23,Match!$H:$H,"L"))</f>
        <v/>
      </c>
      <c r="F23" s="40" t="str">
        <f t="shared" si="2"/>
        <v/>
      </c>
    </row>
    <row r="24" ht="15.75" customHeight="1">
      <c r="B24" s="19"/>
      <c r="C24" s="29" t="str">
        <f>IF($B24="","",COUNTIFS(Match!$D:$D,$T$2,Match!$F:$F,$B24))</f>
        <v/>
      </c>
      <c r="D24" s="29" t="str">
        <f>IF($B24="","",COUNTIFS(Match!$D:$D,$T$2,Match!$F:$F,$B24,Match!$H:$H,"W"))</f>
        <v/>
      </c>
      <c r="E24" s="29" t="str">
        <f>IF($B24="","",COUNTIFS(Match!$D:$D,$T$2,Match!$F:$F,$B24,Match!$H:$H,"L"))</f>
        <v/>
      </c>
      <c r="F24" s="40" t="str">
        <f t="shared" si="2"/>
        <v/>
      </c>
    </row>
    <row r="25" ht="15.75" customHeight="1">
      <c r="B25" s="19"/>
      <c r="C25" s="29" t="str">
        <f>IF($B25="","",COUNTIFS(Match!$D:$D,$T$2,Match!$F:$F,$B25))</f>
        <v/>
      </c>
      <c r="D25" s="29" t="str">
        <f>IF($B25="","",COUNTIFS(Match!$D:$D,$T$2,Match!$F:$F,$B25,Match!$H:$H,"W"))</f>
        <v/>
      </c>
      <c r="E25" s="29" t="str">
        <f>IF($B25="","",COUNTIFS(Match!$D:$D,$T$2,Match!$F:$F,$B25,Match!$H:$H,"L"))</f>
        <v/>
      </c>
      <c r="F25" s="40" t="str">
        <f t="shared" si="2"/>
        <v/>
      </c>
    </row>
    <row r="26" ht="15.75" customHeight="1">
      <c r="B26" s="19"/>
      <c r="C26" s="29" t="str">
        <f>IF($B26="","",COUNTIFS(Match!$D:$D,$T$2,Match!$F:$F,$B26))</f>
        <v/>
      </c>
      <c r="D26" s="29" t="str">
        <f>IF($B26="","",COUNTIFS(Match!$D:$D,$T$2,Match!$F:$F,$B26,Match!$H:$H,"W"))</f>
        <v/>
      </c>
      <c r="E26" s="29" t="str">
        <f>IF($B26="","",COUNTIFS(Match!$D:$D,$T$2,Match!$F:$F,$B26,Match!$H:$H,"L"))</f>
        <v/>
      </c>
      <c r="F26" s="40" t="str">
        <f t="shared" si="2"/>
        <v/>
      </c>
    </row>
    <row r="27" ht="15.75" customHeight="1">
      <c r="B27" s="19"/>
      <c r="C27" s="29" t="str">
        <f>IF($B27="","",COUNTIFS(Match!$D:$D,$T$2,Match!$F:$F,$B27))</f>
        <v/>
      </c>
      <c r="D27" s="29" t="str">
        <f>IF($B27="","",COUNTIFS(Match!$D:$D,$T$2,Match!$F:$F,$B27,Match!$H:$H,"W"))</f>
        <v/>
      </c>
      <c r="E27" s="29" t="str">
        <f>IF($B27="","",COUNTIFS(Match!$D:$D,$T$2,Match!$F:$F,$B27,Match!$H:$H,"L"))</f>
        <v/>
      </c>
      <c r="F27" s="40" t="str">
        <f t="shared" si="2"/>
        <v/>
      </c>
    </row>
    <row r="28" ht="15.75" customHeight="1">
      <c r="B28" s="19"/>
      <c r="C28" s="29" t="str">
        <f>IF($B28="","",COUNTIFS(Match!$D:$D,$T$2,Match!$F:$F,$B28))</f>
        <v/>
      </c>
      <c r="D28" s="29" t="str">
        <f>IF($B28="","",COUNTIFS(Match!$D:$D,$T$2,Match!$F:$F,$B28,Match!$H:$H,"W"))</f>
        <v/>
      </c>
      <c r="E28" s="29" t="str">
        <f>IF($B28="","",COUNTIFS(Match!$D:$D,$T$2,Match!$F:$F,$B28,Match!$H:$H,"L"))</f>
        <v/>
      </c>
      <c r="F28" s="40" t="str">
        <f t="shared" si="2"/>
        <v/>
      </c>
    </row>
    <row r="29" ht="15.75" customHeight="1">
      <c r="B29" s="19"/>
      <c r="C29" s="29" t="str">
        <f>IF($B29="","",COUNTIFS(Match!$D:$D,$T$2,Match!$F:$F,$B29))</f>
        <v/>
      </c>
      <c r="D29" s="29" t="str">
        <f>IF($B29="","",COUNTIFS(Match!$D:$D,$T$2,Match!$F:$F,$B29,Match!$H:$H,"W"))</f>
        <v/>
      </c>
      <c r="E29" s="29" t="str">
        <f>IF($B29="","",COUNTIFS(Match!$D:$D,$T$2,Match!$F:$F,$B29,Match!$H:$H,"L"))</f>
        <v/>
      </c>
      <c r="F29" s="40" t="str">
        <f t="shared" si="2"/>
        <v/>
      </c>
    </row>
    <row r="30" ht="15.75" customHeight="1">
      <c r="B30" s="19"/>
      <c r="C30" s="29" t="str">
        <f>IF($B30="","",COUNTIFS(Match!$D:$D,$T$2,Match!$F:$F,$B30))</f>
        <v/>
      </c>
      <c r="D30" s="29" t="str">
        <f>IF($B30="","",COUNTIFS(Match!$D:$D,$T$2,Match!$F:$F,$B30,Match!$H:$H,"W"))</f>
        <v/>
      </c>
      <c r="E30" s="29" t="str">
        <f>IF($B30="","",COUNTIFS(Match!$D:$D,$T$2,Match!$F:$F,$B30,Match!$H:$H,"L"))</f>
        <v/>
      </c>
      <c r="F30" s="40" t="str">
        <f t="shared" si="2"/>
        <v/>
      </c>
    </row>
    <row r="31" ht="15.75" customHeight="1">
      <c r="B31" s="19"/>
      <c r="C31" s="29" t="str">
        <f>IF($B31="","",COUNTIFS(Match!$D:$D,$T$2,Match!$F:$F,$B31))</f>
        <v/>
      </c>
      <c r="D31" s="29" t="str">
        <f>IF($B31="","",COUNTIFS(Match!$D:$D,$T$2,Match!$F:$F,$B31,Match!$H:$H,"W"))</f>
        <v/>
      </c>
      <c r="E31" s="29" t="str">
        <f>IF($B31="","",COUNTIFS(Match!$D:$D,$T$2,Match!$F:$F,$B31,Match!$H:$H,"L"))</f>
        <v/>
      </c>
      <c r="F31" s="40" t="str">
        <f t="shared" si="2"/>
        <v/>
      </c>
    </row>
    <row r="32" ht="15.75" customHeight="1">
      <c r="B32" s="19"/>
      <c r="C32" s="29" t="str">
        <f>IF($B32="","",COUNTIFS(Match!$D:$D,$T$2,Match!$F:$F,$B32))</f>
        <v/>
      </c>
      <c r="D32" s="29" t="str">
        <f>IF($B32="","",COUNTIFS(Match!$D:$D,$T$2,Match!$F:$F,$B32,Match!$H:$H,"W"))</f>
        <v/>
      </c>
      <c r="E32" s="29" t="str">
        <f>IF($B32="","",COUNTIFS(Match!$D:$D,$T$2,Match!$F:$F,$B32,Match!$H:$H,"L"))</f>
        <v/>
      </c>
      <c r="F32" s="40" t="str">
        <f t="shared" si="2"/>
        <v/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>
      <c r="N43" s="26"/>
    </row>
    <row r="44" ht="15.75" customHeight="1">
      <c r="N44" s="26"/>
    </row>
    <row r="45" ht="15.75" customHeight="1">
      <c r="N45" s="26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L2"/>
    <mergeCell ref="B4:C4"/>
    <mergeCell ref="F4:J4"/>
    <mergeCell ref="B15:F15"/>
    <mergeCell ref="H15:K15"/>
  </mergeCells>
  <conditionalFormatting sqref="C8">
    <cfRule type="colorScale" priority="1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conditionalFormatting sqref="F17:F32">
    <cfRule type="colorScale" priority="2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0"/>
    <col customWidth="1" min="2" max="2" width="24.0"/>
    <col customWidth="1" min="3" max="5" width="12.0"/>
    <col customWidth="1" min="6" max="6" width="14.0"/>
    <col customWidth="1" min="7" max="12" width="12.0"/>
    <col customWidth="1" min="13" max="13" width="8.63"/>
    <col customWidth="1" min="14" max="14" width="11.0"/>
    <col customWidth="1" min="15" max="26" width="8.63"/>
  </cols>
  <sheetData>
    <row r="1">
      <c r="T1" s="31" t="s">
        <v>84</v>
      </c>
    </row>
    <row r="2" ht="31.5" customHeight="1">
      <c r="B2" s="30" t="s">
        <v>173</v>
      </c>
      <c r="C2" s="6"/>
      <c r="D2" s="6"/>
      <c r="E2" s="6"/>
      <c r="F2" s="6"/>
      <c r="G2" s="6"/>
      <c r="H2" s="6"/>
      <c r="I2" s="6"/>
      <c r="J2" s="6"/>
      <c r="K2" s="6"/>
      <c r="L2" s="8"/>
      <c r="T2" s="31" t="s">
        <v>145</v>
      </c>
    </row>
    <row r="3">
      <c r="N3" s="49"/>
    </row>
    <row r="4" ht="15.75" customHeight="1">
      <c r="B4" s="34" t="s">
        <v>87</v>
      </c>
      <c r="C4" s="8"/>
      <c r="F4" s="34" t="s">
        <v>88</v>
      </c>
      <c r="G4" s="6"/>
      <c r="H4" s="6"/>
      <c r="I4" s="6"/>
      <c r="J4" s="8"/>
    </row>
    <row r="5">
      <c r="B5" s="36" t="s">
        <v>89</v>
      </c>
      <c r="C5" s="39">
        <f>COUNTIFS(Match!$D:$D,$T$2)</f>
        <v>11</v>
      </c>
      <c r="F5" s="11" t="s">
        <v>9</v>
      </c>
      <c r="G5" s="11" t="s">
        <v>95</v>
      </c>
      <c r="H5" s="11" t="s">
        <v>96</v>
      </c>
      <c r="I5" s="11" t="s">
        <v>97</v>
      </c>
      <c r="J5" s="11" t="s">
        <v>98</v>
      </c>
    </row>
    <row r="6">
      <c r="B6" s="36" t="s">
        <v>96</v>
      </c>
      <c r="C6" s="39">
        <f>COUNTIFS(Match!$D:$D,$T$2,Match!$H:$H,"W")</f>
        <v>5</v>
      </c>
      <c r="F6" s="19" t="s">
        <v>64</v>
      </c>
      <c r="G6" s="29">
        <f>IF($F6="","",COUNTIFS(Match!$D:$D,$T$2,Match!$C:$C,$F6))</f>
        <v>11</v>
      </c>
      <c r="H6" s="29">
        <f>IF($F6="","",COUNTIFS(Match!$D:$D,$T$2,Match!$C:$C,$F6,Match!$H:$H,"W"))</f>
        <v>5</v>
      </c>
      <c r="I6" s="29">
        <f>IF($F6="","",COUNTIFS(Match!$D:$D,$T$2,Match!$C:$C,$F6,Match!$H:$H,"L"))</f>
        <v>6</v>
      </c>
      <c r="J6" s="40">
        <f t="shared" ref="J6:J11" si="1">IF($F6="","",IFERROR(H6/G6,""))</f>
        <v>0.4545454545</v>
      </c>
    </row>
    <row r="7">
      <c r="B7" s="36" t="s">
        <v>97</v>
      </c>
      <c r="C7" s="39">
        <f>COUNTIFS(Match!$D:$D,$T$2,Match!$H:$H,"L")</f>
        <v>6</v>
      </c>
      <c r="F7" s="19"/>
      <c r="G7" s="29" t="str">
        <f>IF($F7="","",COUNTIFS(Match!$D:$D,$T$2,Match!$C:$C,$F7))</f>
        <v/>
      </c>
      <c r="H7" s="29" t="str">
        <f>IF($F7="","",COUNTIFS(Match!$D:$D,$T$2,Match!$C:$C,$F7,Match!$H:$H,"W"))</f>
        <v/>
      </c>
      <c r="I7" s="29" t="str">
        <f>IF($F7="","",COUNTIFS(Match!$D:$D,$T$2,Match!$C:$C,$F7,Match!$H:$H,"L"))</f>
        <v/>
      </c>
      <c r="J7" s="40" t="str">
        <f t="shared" si="1"/>
        <v/>
      </c>
    </row>
    <row r="8">
      <c r="B8" s="36" t="s">
        <v>108</v>
      </c>
      <c r="C8" s="41">
        <f>IFERROR(C6/C5,"")</f>
        <v>0.4545454545</v>
      </c>
      <c r="F8" s="19"/>
      <c r="G8" s="29" t="str">
        <f>IF($F8="","",COUNTIFS(Match!$D:$D,$T$2,Match!$C:$C,$F8))</f>
        <v/>
      </c>
      <c r="H8" s="29" t="str">
        <f>IF($F8="","",COUNTIFS(Match!$D:$D,$T$2,Match!$C:$C,$F8,Match!$H:$H,"W"))</f>
        <v/>
      </c>
      <c r="I8" s="29" t="str">
        <f>IF($F8="","",COUNTIFS(Match!$D:$D,$T$2,Match!$C:$C,$F8,Match!$H:$H,"L"))</f>
        <v/>
      </c>
      <c r="J8" s="40" t="str">
        <f t="shared" si="1"/>
        <v/>
      </c>
    </row>
    <row r="9">
      <c r="B9" s="36" t="s">
        <v>109</v>
      </c>
      <c r="C9" s="39">
        <f>COUNTIFS(Match!$D:$D,$T$2,Match!$G:$G,1)</f>
        <v>6</v>
      </c>
      <c r="F9" s="19"/>
      <c r="G9" s="29" t="str">
        <f>IF($F9="","",COUNTIFS(Match!$D:$D,$T$2,Match!$C:$C,$F9))</f>
        <v/>
      </c>
      <c r="H9" s="29" t="str">
        <f>IF($F9="","",COUNTIFS(Match!$D:$D,$T$2,Match!$C:$C,$F9,Match!$H:$H,"W"))</f>
        <v/>
      </c>
      <c r="I9" s="29" t="str">
        <f>IF($F9="","",COUNTIFS(Match!$D:$D,$T$2,Match!$C:$C,$F9,Match!$H:$H,"L"))</f>
        <v/>
      </c>
      <c r="J9" s="40" t="str">
        <f t="shared" si="1"/>
        <v/>
      </c>
    </row>
    <row r="10">
      <c r="B10" s="36" t="s">
        <v>102</v>
      </c>
      <c r="C10" s="41">
        <f>IFERROR(COUNTIFS(Match!$D:$D,$T$2,Match!$G:$G,1,Match!$H:$H,"W")/C9,"")</f>
        <v>0.3333333333</v>
      </c>
      <c r="F10" s="19"/>
      <c r="G10" s="29" t="str">
        <f>IF($F10="","",COUNTIFS(Match!$D:$D,$T$2,Match!$C:$C,$F10))</f>
        <v/>
      </c>
      <c r="H10" s="29" t="str">
        <f>IF($F10="","",COUNTIFS(Match!$D:$D,$T$2,Match!$C:$C,$F10,Match!$H:$H,"W"))</f>
        <v/>
      </c>
      <c r="I10" s="29" t="str">
        <f>IF($F10="","",COUNTIFS(Match!$D:$D,$T$2,Match!$C:$C,$F10,Match!$H:$H,"L"))</f>
        <v/>
      </c>
      <c r="J10" s="40" t="str">
        <f t="shared" si="1"/>
        <v/>
      </c>
    </row>
    <row r="11">
      <c r="B11" s="36" t="s">
        <v>113</v>
      </c>
      <c r="C11" s="39">
        <f>COUNTIFS(Match!$D:$D,$T$2,Match!$G:$G,2)</f>
        <v>5</v>
      </c>
      <c r="F11" s="19"/>
      <c r="G11" s="29" t="str">
        <f>IF($F11="","",COUNTIFS(Match!$D:$D,$T$2,Match!$C:$C,$F11))</f>
        <v/>
      </c>
      <c r="H11" s="29" t="str">
        <f>IF($F11="","",COUNTIFS(Match!$D:$D,$T$2,Match!$C:$C,$F11,Match!$H:$H,"W"))</f>
        <v/>
      </c>
      <c r="I11" s="29" t="str">
        <f>IF($F11="","",COUNTIFS(Match!$D:$D,$T$2,Match!$C:$C,$F11,Match!$H:$H,"L"))</f>
        <v/>
      </c>
      <c r="J11" s="40" t="str">
        <f t="shared" si="1"/>
        <v/>
      </c>
    </row>
    <row r="12">
      <c r="B12" s="36" t="s">
        <v>103</v>
      </c>
      <c r="C12" s="41">
        <f>IFERROR(COUNTIFS(Match!$D:$D,$T$2,Match!$G:$G,2,Match!$H:$H,"W")/C11,"")</f>
        <v>0.6</v>
      </c>
    </row>
    <row r="15" ht="15.75" customHeight="1">
      <c r="B15" s="34" t="s">
        <v>115</v>
      </c>
      <c r="C15" s="6"/>
      <c r="D15" s="6"/>
      <c r="E15" s="6"/>
      <c r="F15" s="8"/>
      <c r="H15" s="34" t="s">
        <v>116</v>
      </c>
      <c r="I15" s="6"/>
      <c r="J15" s="6"/>
      <c r="K15" s="8"/>
    </row>
    <row r="16">
      <c r="B16" s="11" t="s">
        <v>117</v>
      </c>
      <c r="C16" s="11" t="s">
        <v>95</v>
      </c>
      <c r="D16" s="11" t="s">
        <v>96</v>
      </c>
      <c r="E16" s="11" t="s">
        <v>97</v>
      </c>
      <c r="F16" s="11" t="s">
        <v>98</v>
      </c>
      <c r="H16" s="11" t="s">
        <v>54</v>
      </c>
      <c r="I16" s="11" t="s">
        <v>95</v>
      </c>
      <c r="J16" s="11" t="s">
        <v>96</v>
      </c>
      <c r="K16" s="11" t="s">
        <v>98</v>
      </c>
    </row>
    <row r="17">
      <c r="B17" s="19" t="s">
        <v>65</v>
      </c>
      <c r="C17" s="29">
        <f>IF($B17="","",COUNTIFS(Match!$D:$D,$T$2,Match!$F:$F,$B17))</f>
        <v>1</v>
      </c>
      <c r="D17" s="29">
        <f>IF($B17="","",COUNTIFS(Match!$D:$D,$T$2,Match!$F:$F,$B17,Match!$H:$H,"W"))</f>
        <v>1</v>
      </c>
      <c r="E17" s="29">
        <f>IF($B17="","",COUNTIFS(Match!$D:$D,$T$2,Match!$F:$F,$B17,Match!$H:$H,"L"))</f>
        <v>0</v>
      </c>
      <c r="F17" s="40">
        <f t="shared" ref="F17:F38" si="2">IF($B17="","",IFERROR(D17/C17,""))</f>
        <v>1</v>
      </c>
      <c r="H17" s="19" t="s">
        <v>119</v>
      </c>
      <c r="I17" s="29">
        <f>C9</f>
        <v>6</v>
      </c>
      <c r="J17" s="29">
        <f>COUNTIFS(Match!$D:$D,$T$2,Match!$G:$G,1,Match!$H:$H,"W")</f>
        <v>2</v>
      </c>
      <c r="K17" s="40">
        <f t="shared" ref="K17:K18" si="3">IFERROR(J17/I17,"")</f>
        <v>0.3333333333</v>
      </c>
    </row>
    <row r="18">
      <c r="B18" s="19" t="s">
        <v>92</v>
      </c>
      <c r="C18" s="29">
        <f>IF($B18="","",COUNTIFS(Match!$D:$D,$T$2,Match!$F:$F,$B18))</f>
        <v>3</v>
      </c>
      <c r="D18" s="29">
        <f>IF($B18="","",COUNTIFS(Match!$D:$D,$T$2,Match!$F:$F,$B18,Match!$H:$H,"W"))</f>
        <v>1</v>
      </c>
      <c r="E18" s="29">
        <f>IF($B18="","",COUNTIFS(Match!$D:$D,$T$2,Match!$F:$F,$B18,Match!$H:$H,"L"))</f>
        <v>2</v>
      </c>
      <c r="F18" s="40">
        <f t="shared" si="2"/>
        <v>0.3333333333</v>
      </c>
      <c r="H18" s="19" t="s">
        <v>122</v>
      </c>
      <c r="I18" s="29">
        <f>C11</f>
        <v>5</v>
      </c>
      <c r="J18" s="29">
        <f>COUNTIFS(Match!$D:$D,$T$2,Match!$G:$G,2,Match!$H:$H,"W")</f>
        <v>3</v>
      </c>
      <c r="K18" s="40">
        <f t="shared" si="3"/>
        <v>0.6</v>
      </c>
    </row>
    <row r="19">
      <c r="B19" s="19" t="s">
        <v>124</v>
      </c>
      <c r="C19" s="29">
        <f>IF($B19="","",COUNTIFS(Match!$D:$D,$T$2,Match!$F:$F,$B19))</f>
        <v>3</v>
      </c>
      <c r="D19" s="29">
        <f>IF($B19="","",COUNTIFS(Match!$D:$D,$T$2,Match!$F:$F,$B19,Match!$H:$H,"W"))</f>
        <v>2</v>
      </c>
      <c r="E19" s="29">
        <f>IF($B19="","",COUNTIFS(Match!$D:$D,$T$2,Match!$F:$F,$B19,Match!$H:$H,"L"))</f>
        <v>1</v>
      </c>
      <c r="F19" s="40">
        <f t="shared" si="2"/>
        <v>0.6666666667</v>
      </c>
    </row>
    <row r="20">
      <c r="B20" s="19" t="s">
        <v>148</v>
      </c>
      <c r="C20" s="29">
        <f>IF($B20="","",COUNTIFS(Match!$D:$D,$T$2,Match!$F:$F,$B20))</f>
        <v>1</v>
      </c>
      <c r="D20" s="29">
        <f>IF($B20="","",COUNTIFS(Match!$D:$D,$T$2,Match!$F:$F,$B20,Match!$H:$H,"W"))</f>
        <v>0</v>
      </c>
      <c r="E20" s="29">
        <f>IF($B20="","",COUNTIFS(Match!$D:$D,$T$2,Match!$F:$F,$B20,Match!$H:$H,"L"))</f>
        <v>1</v>
      </c>
      <c r="F20" s="40">
        <f t="shared" si="2"/>
        <v>0</v>
      </c>
    </row>
    <row r="21" ht="15.75" customHeight="1">
      <c r="B21" s="19" t="s">
        <v>149</v>
      </c>
      <c r="C21" s="29">
        <f>IF($B21="","",COUNTIFS(Match!$D:$D,$T$2,Match!$F:$F,$B21))</f>
        <v>1</v>
      </c>
      <c r="D21" s="29">
        <f>IF($B21="","",COUNTIFS(Match!$D:$D,$T$2,Match!$F:$F,$B21,Match!$H:$H,"W"))</f>
        <v>0</v>
      </c>
      <c r="E21" s="29">
        <f>IF($B21="","",COUNTIFS(Match!$D:$D,$T$2,Match!$F:$F,$B21,Match!$H:$H,"L"))</f>
        <v>1</v>
      </c>
      <c r="F21" s="40">
        <f t="shared" si="2"/>
        <v>0</v>
      </c>
    </row>
    <row r="22" ht="15.75" customHeight="1">
      <c r="B22" s="19" t="s">
        <v>71</v>
      </c>
      <c r="C22" s="29">
        <f>IF($B22="","",COUNTIFS(Match!$D:$D,$T$2,Match!$F:$F,$B22))</f>
        <v>1</v>
      </c>
      <c r="D22" s="29">
        <f>IF($B22="","",COUNTIFS(Match!$D:$D,$T$2,Match!$F:$F,$B22,Match!$H:$H,"W"))</f>
        <v>0</v>
      </c>
      <c r="E22" s="29">
        <f>IF($B22="","",COUNTIFS(Match!$D:$D,$T$2,Match!$F:$F,$B22,Match!$H:$H,"L"))</f>
        <v>1</v>
      </c>
      <c r="F22" s="40">
        <f t="shared" si="2"/>
        <v>0</v>
      </c>
    </row>
    <row r="23" ht="15.75" customHeight="1">
      <c r="B23" s="19" t="s">
        <v>120</v>
      </c>
      <c r="C23" s="29">
        <f>IF($B23="","",COUNTIFS(Match!$D:$D,$T$2,Match!$F:$F,$B23))</f>
        <v>1</v>
      </c>
      <c r="D23" s="29">
        <f>IF($B23="","",COUNTIFS(Match!$D:$D,$T$2,Match!$F:$F,$B23,Match!$H:$H,"W"))</f>
        <v>1</v>
      </c>
      <c r="E23" s="29">
        <f>IF($B23="","",COUNTIFS(Match!$D:$D,$T$2,Match!$F:$F,$B23,Match!$H:$H,"L"))</f>
        <v>0</v>
      </c>
      <c r="F23" s="40">
        <f t="shared" si="2"/>
        <v>1</v>
      </c>
    </row>
    <row r="24" ht="15.75" customHeight="1">
      <c r="B24" s="19"/>
      <c r="C24" s="29" t="str">
        <f>IF($B24="","",COUNTIFS(Match!$D:$D,$T$2,Match!$F:$F,$B24))</f>
        <v/>
      </c>
      <c r="D24" s="29" t="str">
        <f>IF($B24="","",COUNTIFS(Match!$D:$D,$T$2,Match!$F:$F,$B24,Match!$H:$H,"W"))</f>
        <v/>
      </c>
      <c r="E24" s="29" t="str">
        <f>IF($B24="","",COUNTIFS(Match!$D:$D,$T$2,Match!$F:$F,$B24,Match!$H:$H,"L"))</f>
        <v/>
      </c>
      <c r="F24" s="40" t="str">
        <f t="shared" si="2"/>
        <v/>
      </c>
    </row>
    <row r="25" ht="15.75" customHeight="1">
      <c r="B25" s="19"/>
      <c r="C25" s="29" t="str">
        <f>IF($B25="","",COUNTIFS(Match!$D:$D,$T$2,Match!$F:$F,$B25))</f>
        <v/>
      </c>
      <c r="D25" s="29" t="str">
        <f>IF($B25="","",COUNTIFS(Match!$D:$D,$T$2,Match!$F:$F,$B25,Match!$H:$H,"W"))</f>
        <v/>
      </c>
      <c r="E25" s="29" t="str">
        <f>IF($B25="","",COUNTIFS(Match!$D:$D,$T$2,Match!$F:$F,$B25,Match!$H:$H,"L"))</f>
        <v/>
      </c>
      <c r="F25" s="40" t="str">
        <f t="shared" si="2"/>
        <v/>
      </c>
    </row>
    <row r="26" ht="15.75" customHeight="1">
      <c r="B26" s="19"/>
      <c r="C26" s="29" t="str">
        <f>IF($B26="","",COUNTIFS(Match!$D:$D,$T$2,Match!$F:$F,$B26))</f>
        <v/>
      </c>
      <c r="D26" s="29" t="str">
        <f>IF($B26="","",COUNTIFS(Match!$D:$D,$T$2,Match!$F:$F,$B26,Match!$H:$H,"W"))</f>
        <v/>
      </c>
      <c r="E26" s="29" t="str">
        <f>IF($B26="","",COUNTIFS(Match!$D:$D,$T$2,Match!$F:$F,$B26,Match!$H:$H,"L"))</f>
        <v/>
      </c>
      <c r="F26" s="40" t="str">
        <f t="shared" si="2"/>
        <v/>
      </c>
    </row>
    <row r="27" ht="15.75" customHeight="1">
      <c r="B27" s="19"/>
      <c r="C27" s="29" t="str">
        <f>IF($B27="","",COUNTIFS(Match!$D:$D,$T$2,Match!$F:$F,$B27))</f>
        <v/>
      </c>
      <c r="D27" s="29" t="str">
        <f>IF($B27="","",COUNTIFS(Match!$D:$D,$T$2,Match!$F:$F,$B27,Match!$H:$H,"W"))</f>
        <v/>
      </c>
      <c r="E27" s="29" t="str">
        <f>IF($B27="","",COUNTIFS(Match!$D:$D,$T$2,Match!$F:$F,$B27,Match!$H:$H,"L"))</f>
        <v/>
      </c>
      <c r="F27" s="40" t="str">
        <f t="shared" si="2"/>
        <v/>
      </c>
    </row>
    <row r="28" ht="15.75" customHeight="1">
      <c r="B28" s="19"/>
      <c r="C28" s="29" t="str">
        <f>IF($B28="","",COUNTIFS(Match!$D:$D,$T$2,Match!$F:$F,$B28))</f>
        <v/>
      </c>
      <c r="D28" s="29" t="str">
        <f>IF($B28="","",COUNTIFS(Match!$D:$D,$T$2,Match!$F:$F,$B28,Match!$H:$H,"W"))</f>
        <v/>
      </c>
      <c r="E28" s="29" t="str">
        <f>IF($B28="","",COUNTIFS(Match!$D:$D,$T$2,Match!$F:$F,$B28,Match!$H:$H,"L"))</f>
        <v/>
      </c>
      <c r="F28" s="40" t="str">
        <f t="shared" si="2"/>
        <v/>
      </c>
    </row>
    <row r="29" ht="15.75" customHeight="1">
      <c r="B29" s="19"/>
      <c r="C29" s="29" t="str">
        <f>IF($B29="","",COUNTIFS(Match!$D:$D,$T$2,Match!$F:$F,$B29))</f>
        <v/>
      </c>
      <c r="D29" s="29" t="str">
        <f>IF($B29="","",COUNTIFS(Match!$D:$D,$T$2,Match!$F:$F,$B29,Match!$H:$H,"W"))</f>
        <v/>
      </c>
      <c r="E29" s="29" t="str">
        <f>IF($B29="","",COUNTIFS(Match!$D:$D,$T$2,Match!$F:$F,$B29,Match!$H:$H,"L"))</f>
        <v/>
      </c>
      <c r="F29" s="40" t="str">
        <f t="shared" si="2"/>
        <v/>
      </c>
    </row>
    <row r="30" ht="15.75" customHeight="1">
      <c r="B30" s="19"/>
      <c r="C30" s="29" t="str">
        <f>IF($B30="","",COUNTIFS(Match!$D:$D,$T$2,Match!$F:$F,$B30))</f>
        <v/>
      </c>
      <c r="D30" s="29" t="str">
        <f>IF($B30="","",COUNTIFS(Match!$D:$D,$T$2,Match!$F:$F,$B30,Match!$H:$H,"W"))</f>
        <v/>
      </c>
      <c r="E30" s="29" t="str">
        <f>IF($B30="","",COUNTIFS(Match!$D:$D,$T$2,Match!$F:$F,$B30,Match!$H:$H,"L"))</f>
        <v/>
      </c>
      <c r="F30" s="40" t="str">
        <f t="shared" si="2"/>
        <v/>
      </c>
    </row>
    <row r="31" ht="15.75" customHeight="1">
      <c r="B31" s="19"/>
      <c r="C31" s="29" t="str">
        <f>IF($B31="","",COUNTIFS(Match!$D:$D,$T$2,Match!$F:$F,$B31))</f>
        <v/>
      </c>
      <c r="D31" s="29" t="str">
        <f>IF($B31="","",COUNTIFS(Match!$D:$D,$T$2,Match!$F:$F,$B31,Match!$H:$H,"W"))</f>
        <v/>
      </c>
      <c r="E31" s="29" t="str">
        <f>IF($B31="","",COUNTIFS(Match!$D:$D,$T$2,Match!$F:$F,$B31,Match!$H:$H,"L"))</f>
        <v/>
      </c>
      <c r="F31" s="40" t="str">
        <f t="shared" si="2"/>
        <v/>
      </c>
    </row>
    <row r="32" ht="15.75" customHeight="1">
      <c r="B32" s="19"/>
      <c r="C32" s="29" t="str">
        <f>IF($B32="","",COUNTIFS(Match!$D:$D,$T$2,Match!$F:$F,$B32))</f>
        <v/>
      </c>
      <c r="D32" s="29" t="str">
        <f>IF($B32="","",COUNTIFS(Match!$D:$D,$T$2,Match!$F:$F,$B32,Match!$H:$H,"W"))</f>
        <v/>
      </c>
      <c r="E32" s="29" t="str">
        <f>IF($B32="","",COUNTIFS(Match!$D:$D,$T$2,Match!$F:$F,$B32,Match!$H:$H,"L"))</f>
        <v/>
      </c>
      <c r="F32" s="40" t="str">
        <f t="shared" si="2"/>
        <v/>
      </c>
    </row>
    <row r="33" ht="15.75" customHeight="1">
      <c r="B33" s="19"/>
      <c r="C33" s="29" t="str">
        <f>IF($B33="","",COUNTIFS(Match!$D:$D,$T$2,Match!$F:$F,$B33))</f>
        <v/>
      </c>
      <c r="D33" s="29" t="str">
        <f>IF($B33="","",COUNTIFS(Match!$D:$D,$T$2,Match!$F:$F,$B33,Match!$H:$H,"W"))</f>
        <v/>
      </c>
      <c r="E33" s="29" t="str">
        <f>IF($B33="","",COUNTIFS(Match!$D:$D,$T$2,Match!$F:$F,$B33,Match!$H:$H,"L"))</f>
        <v/>
      </c>
      <c r="F33" s="40" t="str">
        <f t="shared" si="2"/>
        <v/>
      </c>
    </row>
    <row r="34" ht="15.75" customHeight="1">
      <c r="B34" s="19"/>
      <c r="C34" s="29" t="str">
        <f>IF($B34="","",COUNTIFS(Match!$D:$D,$T$2,Match!$F:$F,$B34))</f>
        <v/>
      </c>
      <c r="D34" s="29" t="str">
        <f>IF($B34="","",COUNTIFS(Match!$D:$D,$T$2,Match!$F:$F,$B34,Match!$H:$H,"W"))</f>
        <v/>
      </c>
      <c r="E34" s="29" t="str">
        <f>IF($B34="","",COUNTIFS(Match!$D:$D,$T$2,Match!$F:$F,$B34,Match!$H:$H,"L"))</f>
        <v/>
      </c>
      <c r="F34" s="40" t="str">
        <f t="shared" si="2"/>
        <v/>
      </c>
    </row>
    <row r="35" ht="15.75" customHeight="1">
      <c r="B35" s="19"/>
      <c r="C35" s="29" t="str">
        <f>IF($B35="","",COUNTIFS(Match!$D:$D,$T$2,Match!$F:$F,$B35))</f>
        <v/>
      </c>
      <c r="D35" s="29" t="str">
        <f>IF($B35="","",COUNTIFS(Match!$D:$D,$T$2,Match!$F:$F,$B35,Match!$H:$H,"W"))</f>
        <v/>
      </c>
      <c r="E35" s="29" t="str">
        <f>IF($B35="","",COUNTIFS(Match!$D:$D,$T$2,Match!$F:$F,$B35,Match!$H:$H,"L"))</f>
        <v/>
      </c>
      <c r="F35" s="40" t="str">
        <f t="shared" si="2"/>
        <v/>
      </c>
    </row>
    <row r="36" ht="15.75" customHeight="1">
      <c r="B36" s="19"/>
      <c r="C36" s="29" t="str">
        <f>IF($B36="","",COUNTIFS(Match!$D:$D,$T$2,Match!$F:$F,$B36))</f>
        <v/>
      </c>
      <c r="D36" s="29" t="str">
        <f>IF($B36="","",COUNTIFS(Match!$D:$D,$T$2,Match!$F:$F,$B36,Match!$H:$H,"W"))</f>
        <v/>
      </c>
      <c r="E36" s="29" t="str">
        <f>IF($B36="","",COUNTIFS(Match!$D:$D,$T$2,Match!$F:$F,$B36,Match!$H:$H,"L"))</f>
        <v/>
      </c>
      <c r="F36" s="40" t="str">
        <f t="shared" si="2"/>
        <v/>
      </c>
    </row>
    <row r="37" ht="15.75" customHeight="1">
      <c r="B37" s="19"/>
      <c r="C37" s="29" t="str">
        <f>IF($B37="","",COUNTIFS(Match!$D:$D,$T$2,Match!$F:$F,$B37))</f>
        <v/>
      </c>
      <c r="D37" s="29" t="str">
        <f>IF($B37="","",COUNTIFS(Match!$D:$D,$T$2,Match!$F:$F,$B37,Match!$H:$H,"W"))</f>
        <v/>
      </c>
      <c r="E37" s="29" t="str">
        <f>IF($B37="","",COUNTIFS(Match!$D:$D,$T$2,Match!$F:$F,$B37,Match!$H:$H,"L"))</f>
        <v/>
      </c>
      <c r="F37" s="40" t="str">
        <f t="shared" si="2"/>
        <v/>
      </c>
    </row>
    <row r="38" ht="15.75" customHeight="1">
      <c r="B38" s="19"/>
      <c r="C38" s="29" t="str">
        <f>IF($B38="","",COUNTIFS(Match!$D:$D,$T$2,Match!$F:$F,$B38))</f>
        <v/>
      </c>
      <c r="D38" s="29" t="str">
        <f>IF($B38="","",COUNTIFS(Match!$D:$D,$T$2,Match!$F:$F,$B38,Match!$H:$H,"W"))</f>
        <v/>
      </c>
      <c r="E38" s="29" t="str">
        <f>IF($B38="","",COUNTIFS(Match!$D:$D,$T$2,Match!$F:$F,$B38,Match!$H:$H,"L"))</f>
        <v/>
      </c>
      <c r="F38" s="40" t="str">
        <f t="shared" si="2"/>
        <v/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>
      <c r="N56" s="26"/>
    </row>
    <row r="57" ht="15.75" customHeight="1">
      <c r="N57" s="26"/>
    </row>
    <row r="58" ht="15.75" customHeight="1">
      <c r="N58" s="26"/>
    </row>
    <row r="59" ht="15.75" customHeight="1">
      <c r="N59" s="26"/>
    </row>
    <row r="60" ht="15.75" customHeight="1">
      <c r="N60" s="26"/>
    </row>
    <row r="61" ht="15.75" customHeight="1">
      <c r="N61" s="26"/>
    </row>
    <row r="62" ht="15.75" customHeight="1">
      <c r="N62" s="26"/>
    </row>
    <row r="63" ht="15.75" customHeight="1">
      <c r="B63" s="47" t="s">
        <v>15</v>
      </c>
      <c r="C63" s="47" t="s">
        <v>32</v>
      </c>
      <c r="D63" s="47"/>
      <c r="N63" s="26"/>
    </row>
    <row r="64" ht="15.75" customHeight="1">
      <c r="B64" s="47" t="s">
        <v>120</v>
      </c>
      <c r="C64" s="47" t="s">
        <v>152</v>
      </c>
      <c r="D64" s="47"/>
      <c r="N64" s="26"/>
    </row>
    <row r="65" ht="15.75" customHeight="1">
      <c r="B65" s="47" t="s">
        <v>149</v>
      </c>
      <c r="C65" s="47" t="s">
        <v>150</v>
      </c>
      <c r="D65" s="47"/>
      <c r="N65" s="26"/>
    </row>
    <row r="66" ht="15.75" customHeight="1">
      <c r="B66" s="47" t="s">
        <v>71</v>
      </c>
      <c r="C66" s="47" t="s">
        <v>151</v>
      </c>
      <c r="D66" s="47"/>
      <c r="N66" s="26"/>
    </row>
    <row r="67" ht="15.75" customHeight="1">
      <c r="B67" s="47" t="s">
        <v>124</v>
      </c>
      <c r="C67" s="47"/>
      <c r="D67" s="47"/>
    </row>
    <row r="68" ht="15.75" customHeight="1">
      <c r="B68" s="47" t="s">
        <v>65</v>
      </c>
      <c r="C68" s="47" t="s">
        <v>146</v>
      </c>
      <c r="D68" s="47"/>
    </row>
    <row r="69" ht="15.75" customHeight="1">
      <c r="B69" s="47" t="s">
        <v>148</v>
      </c>
      <c r="C69" s="47"/>
      <c r="D69" s="47"/>
    </row>
    <row r="70" ht="15.75" customHeight="1">
      <c r="B70" s="47" t="s">
        <v>92</v>
      </c>
      <c r="C70" s="47"/>
      <c r="D70" s="47"/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L2"/>
    <mergeCell ref="B4:C4"/>
    <mergeCell ref="F4:J4"/>
    <mergeCell ref="B15:F15"/>
    <mergeCell ref="H15:K15"/>
  </mergeCells>
  <conditionalFormatting sqref="C8">
    <cfRule type="colorScale" priority="1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conditionalFormatting sqref="F17:F38">
    <cfRule type="colorScale" priority="2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0"/>
    <col customWidth="1" min="2" max="2" width="24.0"/>
    <col customWidth="1" min="3" max="5" width="12.0"/>
    <col customWidth="1" min="6" max="6" width="14.0"/>
    <col customWidth="1" min="7" max="12" width="12.0"/>
    <col customWidth="1" min="13" max="13" width="8.63"/>
    <col customWidth="1" min="14" max="14" width="11.0"/>
    <col customWidth="1" min="15" max="26" width="8.63"/>
  </cols>
  <sheetData>
    <row r="1">
      <c r="T1" s="31" t="s">
        <v>84</v>
      </c>
    </row>
    <row r="2" ht="31.5" customHeight="1">
      <c r="B2" s="30" t="s">
        <v>174</v>
      </c>
      <c r="C2" s="6"/>
      <c r="D2" s="6"/>
      <c r="E2" s="6"/>
      <c r="F2" s="6"/>
      <c r="G2" s="6"/>
      <c r="H2" s="6"/>
      <c r="I2" s="6"/>
      <c r="J2" s="6"/>
      <c r="K2" s="6"/>
      <c r="L2" s="8"/>
      <c r="T2" s="31" t="s">
        <v>140</v>
      </c>
    </row>
    <row r="3">
      <c r="N3" s="49"/>
    </row>
    <row r="4" ht="15.75" customHeight="1">
      <c r="B4" s="34" t="s">
        <v>87</v>
      </c>
      <c r="C4" s="8"/>
      <c r="F4" s="34" t="s">
        <v>88</v>
      </c>
      <c r="G4" s="6"/>
      <c r="H4" s="6"/>
      <c r="I4" s="6"/>
      <c r="J4" s="8"/>
    </row>
    <row r="5">
      <c r="B5" s="36" t="s">
        <v>89</v>
      </c>
      <c r="C5" s="39">
        <f>COUNTIFS(Match!$D:$D,$T$2)</f>
        <v>50</v>
      </c>
      <c r="F5" s="11" t="s">
        <v>9</v>
      </c>
      <c r="G5" s="11" t="s">
        <v>95</v>
      </c>
      <c r="H5" s="11" t="s">
        <v>96</v>
      </c>
      <c r="I5" s="11" t="s">
        <v>97</v>
      </c>
      <c r="J5" s="11" t="s">
        <v>98</v>
      </c>
    </row>
    <row r="6">
      <c r="B6" s="36" t="s">
        <v>96</v>
      </c>
      <c r="C6" s="39">
        <f>COUNTIFS(Match!$D:$D,$T$2,Match!$H:$H,"W")</f>
        <v>32</v>
      </c>
      <c r="F6" s="19" t="s">
        <v>64</v>
      </c>
      <c r="G6" s="29">
        <f>IF($F6="","",COUNTIFS(Match!$D:$D,$T$2,Match!$C:$C,$F6))</f>
        <v>50</v>
      </c>
      <c r="H6" s="29">
        <f>IF($F6="","",COUNTIFS(Match!$D:$D,$T$2,Match!$C:$C,$F6,Match!$H:$H,"W"))</f>
        <v>32</v>
      </c>
      <c r="I6" s="29">
        <f>IF($F6="","",COUNTIFS(Match!$D:$D,$T$2,Match!$C:$C,$F6,Match!$H:$H,"L"))</f>
        <v>18</v>
      </c>
      <c r="J6" s="40">
        <f t="shared" ref="J6:J11" si="1">IF($F6="","",IFERROR(H6/G6,""))</f>
        <v>0.64</v>
      </c>
    </row>
    <row r="7">
      <c r="B7" s="36" t="s">
        <v>97</v>
      </c>
      <c r="C7" s="39">
        <f>COUNTIFS(Match!$D:$D,$T$2,Match!$H:$H,"L")</f>
        <v>18</v>
      </c>
      <c r="F7" s="19"/>
      <c r="G7" s="29" t="str">
        <f>IF($F7="","",COUNTIFS(Match!$D:$D,$T$2,Match!$C:$C,$F7))</f>
        <v/>
      </c>
      <c r="H7" s="29" t="str">
        <f>IF($F7="","",COUNTIFS(Match!$D:$D,$T$2,Match!$C:$C,$F7,Match!$H:$H,"W"))</f>
        <v/>
      </c>
      <c r="I7" s="29" t="str">
        <f>IF($F7="","",COUNTIFS(Match!$D:$D,$T$2,Match!$C:$C,$F7,Match!$H:$H,"L"))</f>
        <v/>
      </c>
      <c r="J7" s="40" t="str">
        <f t="shared" si="1"/>
        <v/>
      </c>
    </row>
    <row r="8">
      <c r="B8" s="36" t="s">
        <v>108</v>
      </c>
      <c r="C8" s="41">
        <f>IFERROR(C6/C5,"")</f>
        <v>0.64</v>
      </c>
      <c r="F8" s="19"/>
      <c r="G8" s="29" t="str">
        <f>IF($F8="","",COUNTIFS(Match!$D:$D,$T$2,Match!$C:$C,$F8))</f>
        <v/>
      </c>
      <c r="H8" s="29" t="str">
        <f>IF($F8="","",COUNTIFS(Match!$D:$D,$T$2,Match!$C:$C,$F8,Match!$H:$H,"W"))</f>
        <v/>
      </c>
      <c r="I8" s="29" t="str">
        <f>IF($F8="","",COUNTIFS(Match!$D:$D,$T$2,Match!$C:$C,$F8,Match!$H:$H,"L"))</f>
        <v/>
      </c>
      <c r="J8" s="40" t="str">
        <f t="shared" si="1"/>
        <v/>
      </c>
    </row>
    <row r="9">
      <c r="B9" s="36" t="s">
        <v>109</v>
      </c>
      <c r="C9" s="39">
        <f>COUNTIFS(Match!$D:$D,$T$2,Match!$G:$G,1)</f>
        <v>9</v>
      </c>
      <c r="F9" s="19"/>
      <c r="G9" s="29" t="str">
        <f>IF($F9="","",COUNTIFS(Match!$D:$D,$T$2,Match!$C:$C,$F9))</f>
        <v/>
      </c>
      <c r="H9" s="29" t="str">
        <f>IF($F9="","",COUNTIFS(Match!$D:$D,$T$2,Match!$C:$C,$F9,Match!$H:$H,"W"))</f>
        <v/>
      </c>
      <c r="I9" s="29" t="str">
        <f>IF($F9="","",COUNTIFS(Match!$D:$D,$T$2,Match!$C:$C,$F9,Match!$H:$H,"L"))</f>
        <v/>
      </c>
      <c r="J9" s="40" t="str">
        <f t="shared" si="1"/>
        <v/>
      </c>
    </row>
    <row r="10">
      <c r="B10" s="36" t="s">
        <v>102</v>
      </c>
      <c r="C10" s="41">
        <f>IFERROR(COUNTIFS(Match!$D:$D,$T$2,Match!$G:$G,1,Match!$H:$H,"W")/C9,"")</f>
        <v>0.6666666667</v>
      </c>
      <c r="F10" s="19"/>
      <c r="G10" s="29" t="str">
        <f>IF($F10="","",COUNTIFS(Match!$D:$D,$T$2,Match!$C:$C,$F10))</f>
        <v/>
      </c>
      <c r="H10" s="29" t="str">
        <f>IF($F10="","",COUNTIFS(Match!$D:$D,$T$2,Match!$C:$C,$F10,Match!$H:$H,"W"))</f>
        <v/>
      </c>
      <c r="I10" s="29" t="str">
        <f>IF($F10="","",COUNTIFS(Match!$D:$D,$T$2,Match!$C:$C,$F10,Match!$H:$H,"L"))</f>
        <v/>
      </c>
      <c r="J10" s="40" t="str">
        <f t="shared" si="1"/>
        <v/>
      </c>
    </row>
    <row r="11">
      <c r="B11" s="36" t="s">
        <v>113</v>
      </c>
      <c r="C11" s="39">
        <f>COUNTIFS(Match!$D:$D,$T$2,Match!$G:$G,2)</f>
        <v>41</v>
      </c>
      <c r="F11" s="19"/>
      <c r="G11" s="29" t="str">
        <f>IF($F11="","",COUNTIFS(Match!$D:$D,$T$2,Match!$C:$C,$F11))</f>
        <v/>
      </c>
      <c r="H11" s="29" t="str">
        <f>IF($F11="","",COUNTIFS(Match!$D:$D,$T$2,Match!$C:$C,$F11,Match!$H:$H,"W"))</f>
        <v/>
      </c>
      <c r="I11" s="29" t="str">
        <f>IF($F11="","",COUNTIFS(Match!$D:$D,$T$2,Match!$C:$C,$F11,Match!$H:$H,"L"))</f>
        <v/>
      </c>
      <c r="J11" s="40" t="str">
        <f t="shared" si="1"/>
        <v/>
      </c>
    </row>
    <row r="12">
      <c r="B12" s="36" t="s">
        <v>103</v>
      </c>
      <c r="C12" s="41">
        <f>IFERROR(COUNTIFS(Match!$D:$D,$T$2,Match!$G:$G,2,Match!$H:$H,"W")/C11,"")</f>
        <v>0.6341463415</v>
      </c>
    </row>
    <row r="15" ht="15.75" customHeight="1">
      <c r="B15" s="34" t="s">
        <v>115</v>
      </c>
      <c r="C15" s="6"/>
      <c r="D15" s="6"/>
      <c r="E15" s="6"/>
      <c r="F15" s="8"/>
      <c r="H15" s="34" t="s">
        <v>116</v>
      </c>
      <c r="I15" s="6"/>
      <c r="J15" s="6"/>
      <c r="K15" s="8"/>
    </row>
    <row r="16">
      <c r="B16" s="11" t="s">
        <v>117</v>
      </c>
      <c r="C16" s="11" t="s">
        <v>95</v>
      </c>
      <c r="D16" s="11" t="s">
        <v>96</v>
      </c>
      <c r="E16" s="11" t="s">
        <v>97</v>
      </c>
      <c r="F16" s="11" t="s">
        <v>98</v>
      </c>
      <c r="H16" s="11" t="s">
        <v>54</v>
      </c>
      <c r="I16" s="11" t="s">
        <v>95</v>
      </c>
      <c r="J16" s="11" t="s">
        <v>96</v>
      </c>
      <c r="K16" s="11" t="s">
        <v>98</v>
      </c>
    </row>
    <row r="17">
      <c r="B17" s="19" t="s">
        <v>153</v>
      </c>
      <c r="C17" s="29">
        <f>IF($B17="","",COUNTIFS(Match!$D:$D,$T$2,Match!$F:$F,$B17))</f>
        <v>2</v>
      </c>
      <c r="D17" s="29">
        <f>IF($B17="","",COUNTIFS(Match!$D:$D,$T$2,Match!$F:$F,$B17,Match!$H:$H,"W"))</f>
        <v>1</v>
      </c>
      <c r="E17" s="29">
        <f>IF($B17="","",COUNTIFS(Match!$D:$D,$T$2,Match!$F:$F,$B17,Match!$H:$H,"L"))</f>
        <v>1</v>
      </c>
      <c r="F17" s="40">
        <f t="shared" ref="F17:F49" si="2">IF($B17="","",IFERROR(D17/C17,""))</f>
        <v>0.5</v>
      </c>
      <c r="H17" s="19" t="s">
        <v>119</v>
      </c>
      <c r="I17" s="29">
        <f>C9</f>
        <v>9</v>
      </c>
      <c r="J17" s="29">
        <f>COUNTIFS(Match!$D:$D,$T$2,Match!$G:$G,1,Match!$H:$H,"W")</f>
        <v>6</v>
      </c>
      <c r="K17" s="40">
        <f t="shared" ref="K17:K18" si="3">IFERROR(J17/I17,"")</f>
        <v>0.6666666667</v>
      </c>
    </row>
    <row r="18">
      <c r="B18" s="19" t="s">
        <v>92</v>
      </c>
      <c r="C18" s="29">
        <f>IF($B18="","",COUNTIFS(Match!$D:$D,$T$2,Match!$F:$F,$B18))</f>
        <v>3</v>
      </c>
      <c r="D18" s="29">
        <f>IF($B18="","",COUNTIFS(Match!$D:$D,$T$2,Match!$F:$F,$B18,Match!$H:$H,"W"))</f>
        <v>3</v>
      </c>
      <c r="E18" s="29">
        <f>IF($B18="","",COUNTIFS(Match!$D:$D,$T$2,Match!$F:$F,$B18,Match!$H:$H,"L"))</f>
        <v>0</v>
      </c>
      <c r="F18" s="40">
        <f t="shared" si="2"/>
        <v>1</v>
      </c>
      <c r="H18" s="19" t="s">
        <v>122</v>
      </c>
      <c r="I18" s="29">
        <f>C11</f>
        <v>41</v>
      </c>
      <c r="J18" s="29">
        <f>COUNTIFS(Match!$D:$D,$T$2,Match!$G:$G,2,Match!$H:$H,"W")</f>
        <v>26</v>
      </c>
      <c r="K18" s="40">
        <f t="shared" si="3"/>
        <v>0.6341463415</v>
      </c>
    </row>
    <row r="19">
      <c r="B19" s="19" t="s">
        <v>155</v>
      </c>
      <c r="C19" s="29">
        <f>IF($B19="","",COUNTIFS(Match!$D:$D,$T$2,Match!$F:$F,$B19))</f>
        <v>3</v>
      </c>
      <c r="D19" s="29">
        <f>IF($B19="","",COUNTIFS(Match!$D:$D,$T$2,Match!$F:$F,$B19,Match!$H:$H,"W"))</f>
        <v>1</v>
      </c>
      <c r="E19" s="29">
        <f>IF($B19="","",COUNTIFS(Match!$D:$D,$T$2,Match!$F:$F,$B19,Match!$H:$H,"L"))</f>
        <v>2</v>
      </c>
      <c r="F19" s="40">
        <f t="shared" si="2"/>
        <v>0.3333333333</v>
      </c>
    </row>
    <row r="20">
      <c r="B20" s="19" t="s">
        <v>77</v>
      </c>
      <c r="C20" s="29">
        <f>IF($B20="","",COUNTIFS(Match!$D:$D,$T$2,Match!$F:$F,$B20))</f>
        <v>2</v>
      </c>
      <c r="D20" s="29">
        <f>IF($B20="","",COUNTIFS(Match!$D:$D,$T$2,Match!$F:$F,$B20,Match!$H:$H,"W"))</f>
        <v>1</v>
      </c>
      <c r="E20" s="29">
        <f>IF($B20="","",COUNTIFS(Match!$D:$D,$T$2,Match!$F:$F,$B20,Match!$H:$H,"L"))</f>
        <v>1</v>
      </c>
      <c r="F20" s="40">
        <f t="shared" si="2"/>
        <v>0.5</v>
      </c>
    </row>
    <row r="21" ht="15.75" customHeight="1">
      <c r="B21" s="19" t="s">
        <v>83</v>
      </c>
      <c r="C21" s="29">
        <f>IF($B21="","",COUNTIFS(Match!$D:$D,$T$2,Match!$F:$F,$B21))</f>
        <v>6</v>
      </c>
      <c r="D21" s="29">
        <f>IF($B21="","",COUNTIFS(Match!$D:$D,$T$2,Match!$F:$F,$B21,Match!$H:$H,"W"))</f>
        <v>5</v>
      </c>
      <c r="E21" s="29">
        <f>IF($B21="","",COUNTIFS(Match!$D:$D,$T$2,Match!$F:$F,$B21,Match!$H:$H,"L"))</f>
        <v>1</v>
      </c>
      <c r="F21" s="40">
        <f t="shared" si="2"/>
        <v>0.8333333333</v>
      </c>
    </row>
    <row r="22" ht="15.75" customHeight="1">
      <c r="B22" s="19" t="s">
        <v>71</v>
      </c>
      <c r="C22" s="29">
        <f>IF($B22="","",COUNTIFS(Match!$D:$D,$T$2,Match!$F:$F,$B22))</f>
        <v>4</v>
      </c>
      <c r="D22" s="29">
        <f>IF($B22="","",COUNTIFS(Match!$D:$D,$T$2,Match!$F:$F,$B22,Match!$H:$H,"W"))</f>
        <v>2</v>
      </c>
      <c r="E22" s="29">
        <f>IF($B22="","",COUNTIFS(Match!$D:$D,$T$2,Match!$F:$F,$B22,Match!$H:$H,"L"))</f>
        <v>2</v>
      </c>
      <c r="F22" s="40">
        <f t="shared" si="2"/>
        <v>0.5</v>
      </c>
    </row>
    <row r="23" ht="15.75" customHeight="1">
      <c r="B23" s="19" t="s">
        <v>120</v>
      </c>
      <c r="C23" s="29">
        <f>IF($B23="","",COUNTIFS(Match!$D:$D,$T$2,Match!$F:$F,$B23))</f>
        <v>4</v>
      </c>
      <c r="D23" s="29">
        <f>IF($B23="","",COUNTIFS(Match!$D:$D,$T$2,Match!$F:$F,$B23,Match!$H:$H,"W"))</f>
        <v>4</v>
      </c>
      <c r="E23" s="29">
        <f>IF($B23="","",COUNTIFS(Match!$D:$D,$T$2,Match!$F:$F,$B23,Match!$H:$H,"L"))</f>
        <v>0</v>
      </c>
      <c r="F23" s="40">
        <f t="shared" si="2"/>
        <v>1</v>
      </c>
    </row>
    <row r="24" ht="15.75" customHeight="1">
      <c r="B24" s="19" t="s">
        <v>111</v>
      </c>
      <c r="C24" s="29">
        <f>IF($B24="","",COUNTIFS(Match!$D:$D,$T$2,Match!$F:$F,$B24))</f>
        <v>1</v>
      </c>
      <c r="D24" s="29">
        <f>IF($B24="","",COUNTIFS(Match!$D:$D,$T$2,Match!$F:$F,$B24,Match!$H:$H,"W"))</f>
        <v>1</v>
      </c>
      <c r="E24" s="29">
        <f>IF($B24="","",COUNTIFS(Match!$D:$D,$T$2,Match!$F:$F,$B24,Match!$H:$H,"L"))</f>
        <v>0</v>
      </c>
      <c r="F24" s="40">
        <f t="shared" si="2"/>
        <v>1</v>
      </c>
    </row>
    <row r="25" ht="15.75" customHeight="1">
      <c r="B25" s="19" t="s">
        <v>106</v>
      </c>
      <c r="C25" s="29">
        <f>IF($B25="","",COUNTIFS(Match!$D:$D,$T$2,Match!$F:$F,$B25))</f>
        <v>2</v>
      </c>
      <c r="D25" s="29">
        <f>IF($B25="","",COUNTIFS(Match!$D:$D,$T$2,Match!$F:$F,$B25,Match!$H:$H,"W"))</f>
        <v>1</v>
      </c>
      <c r="E25" s="29">
        <f>IF($B25="","",COUNTIFS(Match!$D:$D,$T$2,Match!$F:$F,$B25,Match!$H:$H,"L"))</f>
        <v>1</v>
      </c>
      <c r="F25" s="40">
        <f t="shared" si="2"/>
        <v>0.5</v>
      </c>
    </row>
    <row r="26" ht="15.75" customHeight="1">
      <c r="B26" s="19" t="s">
        <v>91</v>
      </c>
      <c r="C26" s="29">
        <f>IF($B26="","",COUNTIFS(Match!$D:$D,$T$2,Match!$F:$F,$B26))</f>
        <v>4</v>
      </c>
      <c r="D26" s="29">
        <f>IF($B26="","",COUNTIFS(Match!$D:$D,$T$2,Match!$F:$F,$B26,Match!$H:$H,"W"))</f>
        <v>3</v>
      </c>
      <c r="E26" s="29">
        <f>IF($B26="","",COUNTIFS(Match!$D:$D,$T$2,Match!$F:$F,$B26,Match!$H:$H,"L"))</f>
        <v>1</v>
      </c>
      <c r="F26" s="40">
        <f t="shared" si="2"/>
        <v>0.75</v>
      </c>
    </row>
    <row r="27" ht="15.75" customHeight="1">
      <c r="B27" s="19" t="s">
        <v>126</v>
      </c>
      <c r="C27" s="29">
        <f>IF($B27="","",COUNTIFS(Match!$D:$D,$T$2,Match!$F:$F,$B27))</f>
        <v>1</v>
      </c>
      <c r="D27" s="29">
        <f>IF($B27="","",COUNTIFS(Match!$D:$D,$T$2,Match!$F:$F,$B27,Match!$H:$H,"W"))</f>
        <v>0</v>
      </c>
      <c r="E27" s="29">
        <f>IF($B27="","",COUNTIFS(Match!$D:$D,$T$2,Match!$F:$F,$B27,Match!$H:$H,"L"))</f>
        <v>1</v>
      </c>
      <c r="F27" s="40">
        <f t="shared" si="2"/>
        <v>0</v>
      </c>
    </row>
    <row r="28" ht="15.75" customHeight="1">
      <c r="B28" s="19" t="s">
        <v>140</v>
      </c>
      <c r="C28" s="29">
        <f>IF($B28="","",COUNTIFS(Match!$D:$D,$T$2,Match!$F:$F,$B28))</f>
        <v>4</v>
      </c>
      <c r="D28" s="29">
        <f>IF($B28="","",COUNTIFS(Match!$D:$D,$T$2,Match!$F:$F,$B28,Match!$H:$H,"W"))</f>
        <v>3</v>
      </c>
      <c r="E28" s="29">
        <f>IF($B28="","",COUNTIFS(Match!$D:$D,$T$2,Match!$F:$F,$B28,Match!$H:$H,"L"))</f>
        <v>1</v>
      </c>
      <c r="F28" s="40">
        <f t="shared" si="2"/>
        <v>0.75</v>
      </c>
    </row>
    <row r="29" ht="15.75" customHeight="1">
      <c r="B29" s="19" t="s">
        <v>65</v>
      </c>
      <c r="C29" s="29">
        <f>IF($B29="","",COUNTIFS(Match!$D:$D,$T$2,Match!$F:$F,$B29))</f>
        <v>2</v>
      </c>
      <c r="D29" s="29">
        <f>IF($B29="","",COUNTIFS(Match!$D:$D,$T$2,Match!$F:$F,$B29,Match!$H:$H,"W"))</f>
        <v>1</v>
      </c>
      <c r="E29" s="29">
        <f>IF($B29="","",COUNTIFS(Match!$D:$D,$T$2,Match!$F:$F,$B29,Match!$H:$H,"L"))</f>
        <v>1</v>
      </c>
      <c r="F29" s="40">
        <f t="shared" si="2"/>
        <v>0.5</v>
      </c>
    </row>
    <row r="30" ht="15.75" customHeight="1">
      <c r="B30" s="19" t="s">
        <v>158</v>
      </c>
      <c r="C30" s="29">
        <f>IF($B30="","",COUNTIFS(Match!$D:$D,$T$2,Match!$F:$F,$B30))</f>
        <v>1</v>
      </c>
      <c r="D30" s="29">
        <f>IF($B30="","",COUNTIFS(Match!$D:$D,$T$2,Match!$F:$F,$B30,Match!$H:$H,"W"))</f>
        <v>0</v>
      </c>
      <c r="E30" s="29">
        <f>IF($B30="","",COUNTIFS(Match!$D:$D,$T$2,Match!$F:$F,$B30,Match!$H:$H,"L"))</f>
        <v>1</v>
      </c>
      <c r="F30" s="40">
        <f t="shared" si="2"/>
        <v>0</v>
      </c>
    </row>
    <row r="31" ht="15.75" customHeight="1">
      <c r="B31" s="53" t="s">
        <v>160</v>
      </c>
      <c r="C31" s="29">
        <f>IF($B31="","",COUNTIFS(Match!$D:$D,$T$2,Match!$F:$F,$B31))</f>
        <v>2</v>
      </c>
      <c r="D31" s="29">
        <f>IF($B31="","",COUNTIFS(Match!$D:$D,$T$2,Match!$F:$F,$B31,Match!$H:$H,"W"))</f>
        <v>1</v>
      </c>
      <c r="E31" s="29">
        <f>IF($B31="","",COUNTIFS(Match!$D:$D,$T$2,Match!$F:$F,$B31,Match!$H:$H,"L"))</f>
        <v>1</v>
      </c>
      <c r="F31" s="40">
        <f t="shared" si="2"/>
        <v>0.5</v>
      </c>
    </row>
    <row r="32" ht="15.75" customHeight="1">
      <c r="B32" s="19" t="s">
        <v>80</v>
      </c>
      <c r="C32" s="29">
        <f>IF($B32="","",COUNTIFS(Match!$D:$D,$T$2,Match!$F:$F,$B32))</f>
        <v>1</v>
      </c>
      <c r="D32" s="29">
        <f>IF($B32="","",COUNTIFS(Match!$D:$D,$T$2,Match!$F:$F,$B32,Match!$H:$H,"W"))</f>
        <v>0</v>
      </c>
      <c r="E32" s="29">
        <f>IF($B32="","",COUNTIFS(Match!$D:$D,$T$2,Match!$F:$F,$B32,Match!$H:$H,"L"))</f>
        <v>1</v>
      </c>
      <c r="F32" s="40">
        <f t="shared" si="2"/>
        <v>0</v>
      </c>
    </row>
    <row r="33" ht="15.75" customHeight="1">
      <c r="B33" s="19" t="s">
        <v>124</v>
      </c>
      <c r="C33" s="29">
        <f>IF($B33="","",COUNTIFS(Match!$D:$D,$T$2,Match!$F:$F,$B33))</f>
        <v>2</v>
      </c>
      <c r="D33" s="29">
        <f>IF($B33="","",COUNTIFS(Match!$D:$D,$T$2,Match!$F:$F,$B33,Match!$H:$H,"W"))</f>
        <v>1</v>
      </c>
      <c r="E33" s="29">
        <f>IF($B33="","",COUNTIFS(Match!$D:$D,$T$2,Match!$F:$F,$B33,Match!$H:$H,"L"))</f>
        <v>1</v>
      </c>
      <c r="F33" s="40">
        <f t="shared" si="2"/>
        <v>0.5</v>
      </c>
    </row>
    <row r="34" ht="15.75" customHeight="1">
      <c r="B34" s="19" t="s">
        <v>164</v>
      </c>
      <c r="C34" s="29">
        <f>IF($B34="","",COUNTIFS(Match!$D:$D,$T$2,Match!$F:$F,$B34))</f>
        <v>1</v>
      </c>
      <c r="D34" s="29">
        <f>IF($B34="","",COUNTIFS(Match!$D:$D,$T$2,Match!$F:$F,$B34,Match!$H:$H,"W"))</f>
        <v>1</v>
      </c>
      <c r="E34" s="29">
        <f>IF($B34="","",COUNTIFS(Match!$D:$D,$T$2,Match!$F:$F,$B34,Match!$H:$H,"L"))</f>
        <v>0</v>
      </c>
      <c r="F34" s="40">
        <f t="shared" si="2"/>
        <v>1</v>
      </c>
    </row>
    <row r="35" ht="15.75" customHeight="1">
      <c r="B35" s="19" t="s">
        <v>169</v>
      </c>
      <c r="C35" s="29">
        <f>IF($B35="","",COUNTIFS(Match!$D:$D,$T$2,Match!$F:$F,$B35))</f>
        <v>1</v>
      </c>
      <c r="D35" s="29">
        <f>IF($B35="","",COUNTIFS(Match!$D:$D,$T$2,Match!$F:$F,$B35,Match!$H:$H,"W"))</f>
        <v>1</v>
      </c>
      <c r="E35" s="29">
        <f>IF($B35="","",COUNTIFS(Match!$D:$D,$T$2,Match!$F:$F,$B35,Match!$H:$H,"L"))</f>
        <v>0</v>
      </c>
      <c r="F35" s="40">
        <f t="shared" si="2"/>
        <v>1</v>
      </c>
    </row>
    <row r="36" ht="15.75" customHeight="1">
      <c r="B36" s="19" t="s">
        <v>135</v>
      </c>
      <c r="C36" s="29">
        <f>IF($B36="","",COUNTIFS(Match!$D:$D,$T$2,Match!$F:$F,$B36))</f>
        <v>2</v>
      </c>
      <c r="D36" s="29">
        <f>IF($B36="","",COUNTIFS(Match!$D:$D,$T$2,Match!$F:$F,$B36,Match!$H:$H,"W"))</f>
        <v>2</v>
      </c>
      <c r="E36" s="29">
        <f>IF($B36="","",COUNTIFS(Match!$D:$D,$T$2,Match!$F:$F,$B36,Match!$H:$H,"L"))</f>
        <v>0</v>
      </c>
      <c r="F36" s="40">
        <f t="shared" si="2"/>
        <v>1</v>
      </c>
    </row>
    <row r="37" ht="15.75" customHeight="1">
      <c r="B37" s="53" t="s">
        <v>132</v>
      </c>
      <c r="C37" s="29">
        <f>IF($B37="","",COUNTIFS(Match!$D:$D,$T$2,Match!$F:$F,$B37))</f>
        <v>1</v>
      </c>
      <c r="D37" s="29">
        <f>IF($B37="","",COUNTIFS(Match!$D:$D,$T$2,Match!$F:$F,$B37,Match!$H:$H,"W"))</f>
        <v>0</v>
      </c>
      <c r="E37" s="29">
        <f>IF($B37="","",COUNTIFS(Match!$D:$D,$T$2,Match!$F:$F,$B37,Match!$H:$H,"L"))</f>
        <v>1</v>
      </c>
      <c r="F37" s="40">
        <f t="shared" si="2"/>
        <v>0</v>
      </c>
    </row>
    <row r="38" ht="15.75" customHeight="1">
      <c r="B38" s="19"/>
      <c r="C38" s="29" t="str">
        <f>IF($B38="","",COUNTIFS(Match!$D:$D,$T$2,Match!$F:$F,$B38))</f>
        <v/>
      </c>
      <c r="D38" s="29" t="str">
        <f>IF($B38="","",COUNTIFS(Match!$D:$D,$T$2,Match!$F:$F,$B38,Match!$H:$H,"W"))</f>
        <v/>
      </c>
      <c r="E38" s="29" t="str">
        <f>IF($B38="","",COUNTIFS(Match!$D:$D,$T$2,Match!$F:$F,$B38,Match!$H:$H,"L"))</f>
        <v/>
      </c>
      <c r="F38" s="40" t="str">
        <f t="shared" si="2"/>
        <v/>
      </c>
    </row>
    <row r="39" ht="15.75" customHeight="1">
      <c r="B39" s="19"/>
      <c r="C39" s="29" t="str">
        <f>IF($B39="","",COUNTIFS(Match!$D:$D,$T$2,Match!$F:$F,$B39))</f>
        <v/>
      </c>
      <c r="D39" s="29" t="str">
        <f>IF($B39="","",COUNTIFS(Match!$D:$D,$T$2,Match!$F:$F,$B39,Match!$H:$H,"W"))</f>
        <v/>
      </c>
      <c r="E39" s="29" t="str">
        <f>IF($B39="","",COUNTIFS(Match!$D:$D,$T$2,Match!$F:$F,$B39,Match!$H:$H,"L"))</f>
        <v/>
      </c>
      <c r="F39" s="40" t="str">
        <f t="shared" si="2"/>
        <v/>
      </c>
    </row>
    <row r="40" ht="15.75" customHeight="1">
      <c r="B40" s="19"/>
      <c r="C40" s="29" t="str">
        <f>IF($B40="","",COUNTIFS(Match!$D:$D,$T$2,Match!$F:$F,$B40))</f>
        <v/>
      </c>
      <c r="D40" s="29" t="str">
        <f>IF($B40="","",COUNTIFS(Match!$D:$D,$T$2,Match!$F:$F,$B40,Match!$H:$H,"W"))</f>
        <v/>
      </c>
      <c r="E40" s="29" t="str">
        <f>IF($B40="","",COUNTIFS(Match!$D:$D,$T$2,Match!$F:$F,$B40,Match!$H:$H,"L"))</f>
        <v/>
      </c>
      <c r="F40" s="40" t="str">
        <f t="shared" si="2"/>
        <v/>
      </c>
    </row>
    <row r="41" ht="15.75" customHeight="1">
      <c r="B41" s="19"/>
      <c r="C41" s="29" t="str">
        <f>IF($B41="","",COUNTIFS(Match!$D:$D,$T$2,Match!$F:$F,$B41))</f>
        <v/>
      </c>
      <c r="D41" s="29" t="str">
        <f>IF($B41="","",COUNTIFS(Match!$D:$D,$T$2,Match!$F:$F,$B41,Match!$H:$H,"W"))</f>
        <v/>
      </c>
      <c r="E41" s="29" t="str">
        <f>IF($B41="","",COUNTIFS(Match!$D:$D,$T$2,Match!$F:$F,$B41,Match!$H:$H,"L"))</f>
        <v/>
      </c>
      <c r="F41" s="40" t="str">
        <f t="shared" si="2"/>
        <v/>
      </c>
    </row>
    <row r="42" ht="15.75" customHeight="1">
      <c r="B42" s="19"/>
      <c r="C42" s="29" t="str">
        <f>IF($B42="","",COUNTIFS(Match!$D:$D,$T$2,Match!$F:$F,$B42))</f>
        <v/>
      </c>
      <c r="D42" s="29" t="str">
        <f>IF($B42="","",COUNTIFS(Match!$D:$D,$T$2,Match!$F:$F,$B42,Match!$H:$H,"W"))</f>
        <v/>
      </c>
      <c r="E42" s="29" t="str">
        <f>IF($B42="","",COUNTIFS(Match!$D:$D,$T$2,Match!$F:$F,$B42,Match!$H:$H,"L"))</f>
        <v/>
      </c>
      <c r="F42" s="40" t="str">
        <f t="shared" si="2"/>
        <v/>
      </c>
    </row>
    <row r="43" ht="15.75" customHeight="1">
      <c r="B43" s="19"/>
      <c r="C43" s="29" t="str">
        <f>IF($B43="","",COUNTIFS(Match!$D:$D,$T$2,Match!$F:$F,$B43))</f>
        <v/>
      </c>
      <c r="D43" s="29" t="str">
        <f>IF($B43="","",COUNTIFS(Match!$D:$D,$T$2,Match!$F:$F,$B43,Match!$H:$H,"W"))</f>
        <v/>
      </c>
      <c r="E43" s="29" t="str">
        <f>IF($B43="","",COUNTIFS(Match!$D:$D,$T$2,Match!$F:$F,$B43,Match!$H:$H,"L"))</f>
        <v/>
      </c>
      <c r="F43" s="40" t="str">
        <f t="shared" si="2"/>
        <v/>
      </c>
    </row>
    <row r="44" ht="15.75" customHeight="1">
      <c r="B44" s="19"/>
      <c r="C44" s="29" t="str">
        <f>IF($B44="","",COUNTIFS(Match!$D:$D,$T$2,Match!$F:$F,$B44))</f>
        <v/>
      </c>
      <c r="D44" s="29" t="str">
        <f>IF($B44="","",COUNTIFS(Match!$D:$D,$T$2,Match!$F:$F,$B44,Match!$H:$H,"W"))</f>
        <v/>
      </c>
      <c r="E44" s="29" t="str">
        <f>IF($B44="","",COUNTIFS(Match!$D:$D,$T$2,Match!$F:$F,$B44,Match!$H:$H,"L"))</f>
        <v/>
      </c>
      <c r="F44" s="40" t="str">
        <f t="shared" si="2"/>
        <v/>
      </c>
    </row>
    <row r="45" ht="15.75" customHeight="1">
      <c r="B45" s="19"/>
      <c r="C45" s="29" t="str">
        <f>IF($B45="","",COUNTIFS(Match!$D:$D,$T$2,Match!$F:$F,$B45))</f>
        <v/>
      </c>
      <c r="D45" s="29" t="str">
        <f>IF($B45="","",COUNTIFS(Match!$D:$D,$T$2,Match!$F:$F,$B45,Match!$H:$H,"W"))</f>
        <v/>
      </c>
      <c r="E45" s="29" t="str">
        <f>IF($B45="","",COUNTIFS(Match!$D:$D,$T$2,Match!$F:$F,$B45,Match!$H:$H,"L"))</f>
        <v/>
      </c>
      <c r="F45" s="40" t="str">
        <f t="shared" si="2"/>
        <v/>
      </c>
    </row>
    <row r="46" ht="15.75" customHeight="1">
      <c r="B46" s="19"/>
      <c r="C46" s="29" t="str">
        <f>IF($B46="","",COUNTIFS(Match!$D:$D,$T$2,Match!$F:$F,$B46))</f>
        <v/>
      </c>
      <c r="D46" s="29" t="str">
        <f>IF($B46="","",COUNTIFS(Match!$D:$D,$T$2,Match!$F:$F,$B46,Match!$H:$H,"W"))</f>
        <v/>
      </c>
      <c r="E46" s="29" t="str">
        <f>IF($B46="","",COUNTIFS(Match!$D:$D,$T$2,Match!$F:$F,$B46,Match!$H:$H,"L"))</f>
        <v/>
      </c>
      <c r="F46" s="40" t="str">
        <f t="shared" si="2"/>
        <v/>
      </c>
    </row>
    <row r="47" ht="15.75" customHeight="1">
      <c r="B47" s="19"/>
      <c r="C47" s="29" t="str">
        <f>IF($B47="","",COUNTIFS(Match!$D:$D,$T$2,Match!$F:$F,$B47))</f>
        <v/>
      </c>
      <c r="D47" s="29" t="str">
        <f>IF($B47="","",COUNTIFS(Match!$D:$D,$T$2,Match!$F:$F,$B47,Match!$H:$H,"W"))</f>
        <v/>
      </c>
      <c r="E47" s="29" t="str">
        <f>IF($B47="","",COUNTIFS(Match!$D:$D,$T$2,Match!$F:$F,$B47,Match!$H:$H,"L"))</f>
        <v/>
      </c>
      <c r="F47" s="40" t="str">
        <f t="shared" si="2"/>
        <v/>
      </c>
    </row>
    <row r="48" ht="15.75" customHeight="1">
      <c r="B48" s="19"/>
      <c r="C48" s="29" t="str">
        <f>IF($B48="","",COUNTIFS(Match!$D:$D,$T$2,Match!$F:$F,$B48))</f>
        <v/>
      </c>
      <c r="D48" s="29" t="str">
        <f>IF($B48="","",COUNTIFS(Match!$D:$D,$T$2,Match!$F:$F,$B48,Match!$H:$H,"W"))</f>
        <v/>
      </c>
      <c r="E48" s="29" t="str">
        <f>IF($B48="","",COUNTIFS(Match!$D:$D,$T$2,Match!$F:$F,$B48,Match!$H:$H,"L"))</f>
        <v/>
      </c>
      <c r="F48" s="40" t="str">
        <f t="shared" si="2"/>
        <v/>
      </c>
    </row>
    <row r="49" ht="15.75" customHeight="1">
      <c r="B49" s="19"/>
      <c r="C49" s="29" t="str">
        <f>IF($B49="","",COUNTIFS(Match!$D:$D,$T$2,Match!$F:$F,$B49))</f>
        <v/>
      </c>
      <c r="D49" s="29" t="str">
        <f>IF($B49="","",COUNTIFS(Match!$D:$D,$T$2,Match!$F:$F,$B49,Match!$H:$H,"W"))</f>
        <v/>
      </c>
      <c r="E49" s="29" t="str">
        <f>IF($B49="","",COUNTIFS(Match!$D:$D,$T$2,Match!$F:$F,$B49,Match!$H:$H,"L"))</f>
        <v/>
      </c>
      <c r="F49" s="40" t="str">
        <f t="shared" si="2"/>
        <v/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B64" s="47" t="s">
        <v>15</v>
      </c>
      <c r="C64" s="47" t="s">
        <v>32</v>
      </c>
      <c r="D64" s="47"/>
    </row>
    <row r="65" ht="15.75" customHeight="1">
      <c r="B65" s="47" t="s">
        <v>83</v>
      </c>
      <c r="C65" s="47"/>
      <c r="D65" s="47"/>
    </row>
    <row r="66" ht="15.75" customHeight="1">
      <c r="B66" s="47" t="s">
        <v>106</v>
      </c>
      <c r="C66" s="47"/>
      <c r="D66" s="47"/>
    </row>
    <row r="67" ht="15.75" customHeight="1">
      <c r="B67" s="47" t="s">
        <v>165</v>
      </c>
      <c r="C67" s="47" t="s">
        <v>166</v>
      </c>
      <c r="D67" s="47"/>
      <c r="N67" s="26"/>
    </row>
    <row r="68" ht="15.75" customHeight="1">
      <c r="B68" s="47" t="s">
        <v>158</v>
      </c>
      <c r="C68" s="47" t="s">
        <v>159</v>
      </c>
      <c r="D68" s="47"/>
      <c r="N68" s="26"/>
    </row>
    <row r="69" ht="15.75" customHeight="1">
      <c r="B69" s="47" t="s">
        <v>120</v>
      </c>
      <c r="C69" s="47"/>
      <c r="D69" s="47"/>
      <c r="N69" s="26"/>
    </row>
    <row r="70" ht="15.75" customHeight="1">
      <c r="B70" s="47"/>
      <c r="C70" s="47" t="s">
        <v>162</v>
      </c>
      <c r="D70" s="47"/>
      <c r="N70" s="26"/>
    </row>
    <row r="71" ht="15.75" customHeight="1">
      <c r="B71" s="47" t="s">
        <v>71</v>
      </c>
      <c r="C71" s="47"/>
      <c r="D71" s="47"/>
      <c r="N71" s="26"/>
    </row>
    <row r="72" ht="15.75" customHeight="1">
      <c r="B72" s="47"/>
      <c r="C72" s="47" t="s">
        <v>170</v>
      </c>
      <c r="D72" s="47"/>
      <c r="N72" s="26"/>
    </row>
    <row r="73" ht="15.75" customHeight="1">
      <c r="B73" s="47" t="s">
        <v>140</v>
      </c>
      <c r="C73" s="47"/>
      <c r="D73" s="47"/>
      <c r="N73" s="26"/>
    </row>
    <row r="74" ht="15.75" customHeight="1">
      <c r="B74" s="47"/>
      <c r="C74" s="47" t="s">
        <v>157</v>
      </c>
      <c r="D74" s="47"/>
      <c r="N74" s="26"/>
    </row>
    <row r="75" ht="15.75" customHeight="1">
      <c r="B75" s="47" t="s">
        <v>124</v>
      </c>
      <c r="C75" s="47"/>
      <c r="D75" s="47"/>
      <c r="N75" s="26"/>
    </row>
    <row r="76" ht="15.75" customHeight="1">
      <c r="B76" s="47" t="s">
        <v>65</v>
      </c>
      <c r="C76" s="47"/>
      <c r="D76" s="47"/>
      <c r="N76" s="26"/>
    </row>
    <row r="77" ht="15.75" customHeight="1">
      <c r="B77" s="47" t="s">
        <v>135</v>
      </c>
      <c r="C77" s="47"/>
      <c r="D77" s="47"/>
      <c r="N77" s="26"/>
    </row>
    <row r="78" ht="15.75" customHeight="1">
      <c r="B78" s="47" t="s">
        <v>132</v>
      </c>
      <c r="C78" s="47"/>
      <c r="D78" s="47"/>
      <c r="N78" s="26"/>
    </row>
    <row r="79" ht="15.75" customHeight="1">
      <c r="B79" s="47" t="s">
        <v>92</v>
      </c>
      <c r="C79" s="47"/>
      <c r="D79" s="47"/>
      <c r="N79" s="26"/>
    </row>
    <row r="80" ht="15.75" customHeight="1">
      <c r="B80" s="47" t="s">
        <v>169</v>
      </c>
      <c r="C80" s="47"/>
      <c r="D80" s="47"/>
      <c r="N80" s="26"/>
    </row>
    <row r="81" ht="15.75" customHeight="1">
      <c r="B81" s="47" t="s">
        <v>160</v>
      </c>
      <c r="C81" s="47"/>
      <c r="D81" s="47"/>
      <c r="N81" s="26"/>
    </row>
    <row r="82" ht="15.75" customHeight="1">
      <c r="B82" s="47"/>
      <c r="C82" s="47" t="s">
        <v>161</v>
      </c>
      <c r="D82" s="47"/>
      <c r="N82" s="26"/>
    </row>
    <row r="83" ht="15.75" customHeight="1">
      <c r="B83" s="47" t="s">
        <v>77</v>
      </c>
      <c r="C83" s="47"/>
      <c r="D83" s="47"/>
      <c r="N83" s="26"/>
    </row>
    <row r="84" ht="15.75" customHeight="1">
      <c r="B84" s="47" t="s">
        <v>164</v>
      </c>
      <c r="C84" s="47"/>
      <c r="D84" s="47"/>
      <c r="N84" s="26"/>
    </row>
    <row r="85" ht="15.75" customHeight="1">
      <c r="B85" s="47" t="s">
        <v>155</v>
      </c>
      <c r="C85" s="47"/>
      <c r="D85" s="47"/>
      <c r="N85" s="26"/>
    </row>
    <row r="86" ht="15.75" customHeight="1">
      <c r="B86" s="47" t="s">
        <v>91</v>
      </c>
      <c r="C86" s="47"/>
      <c r="D86" s="47"/>
      <c r="N86" s="26"/>
    </row>
    <row r="87" ht="15.75" customHeight="1">
      <c r="B87" s="47" t="s">
        <v>111</v>
      </c>
      <c r="C87" s="47"/>
      <c r="D87" s="47"/>
      <c r="N87" s="26"/>
    </row>
    <row r="88" ht="15.75" customHeight="1">
      <c r="B88" s="47" t="s">
        <v>153</v>
      </c>
      <c r="C88" s="47"/>
      <c r="D88" s="47"/>
      <c r="N88" s="26"/>
    </row>
    <row r="89" ht="15.75" customHeight="1">
      <c r="B89" s="47"/>
      <c r="C89" s="47" t="s">
        <v>154</v>
      </c>
      <c r="D89" s="47"/>
      <c r="N89" s="26"/>
    </row>
    <row r="90" ht="15.75" customHeight="1">
      <c r="B90" s="47" t="s">
        <v>126</v>
      </c>
      <c r="C90" s="47" t="s">
        <v>156</v>
      </c>
      <c r="D90" s="47"/>
      <c r="N90" s="26"/>
    </row>
    <row r="91" ht="15.75" customHeight="1">
      <c r="B91" s="47" t="s">
        <v>80</v>
      </c>
      <c r="C91" s="47" t="s">
        <v>163</v>
      </c>
      <c r="D91" s="47"/>
      <c r="N91" s="26"/>
    </row>
    <row r="92" ht="15.75" customHeight="1">
      <c r="N92" s="26"/>
    </row>
    <row r="93" ht="15.75" customHeight="1">
      <c r="N93" s="26"/>
    </row>
    <row r="94" ht="15.75" customHeight="1">
      <c r="N94" s="26"/>
    </row>
    <row r="95" ht="15.75" customHeight="1">
      <c r="N95" s="26"/>
    </row>
    <row r="96" ht="15.75" customHeight="1">
      <c r="N96" s="26"/>
    </row>
    <row r="97" ht="15.75" customHeight="1">
      <c r="N97" s="26"/>
    </row>
    <row r="98" ht="15.75" customHeight="1">
      <c r="N98" s="26"/>
    </row>
    <row r="99" ht="15.75" customHeight="1">
      <c r="N99" s="26"/>
    </row>
    <row r="100" ht="15.75" customHeight="1">
      <c r="N100" s="26"/>
    </row>
    <row r="101" ht="15.75" customHeight="1">
      <c r="N101" s="26"/>
    </row>
    <row r="102" ht="15.75" customHeight="1">
      <c r="N102" s="26"/>
    </row>
    <row r="103" ht="15.75" customHeight="1">
      <c r="N103" s="26"/>
    </row>
    <row r="104" ht="15.75" customHeight="1">
      <c r="N104" s="26"/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L2"/>
    <mergeCell ref="B4:C4"/>
    <mergeCell ref="F4:J4"/>
    <mergeCell ref="B15:F15"/>
    <mergeCell ref="H15:K15"/>
  </mergeCells>
  <conditionalFormatting sqref="C8">
    <cfRule type="colorScale" priority="1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conditionalFormatting sqref="F17:F49">
    <cfRule type="colorScale" priority="2">
      <colorScale>
        <cfvo type="formula" val="0"/>
        <cfvo type="formula" val="0.5"/>
        <cfvo type="formula" val="1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8.0"/>
    <col customWidth="1" min="2" max="3" width="14.0"/>
    <col customWidth="1" min="4" max="4" width="12.0"/>
    <col customWidth="1" min="5" max="5" width="10.0"/>
    <col customWidth="1" min="6" max="6" width="16.0"/>
    <col customWidth="1" min="7" max="7" width="26.0"/>
    <col customWidth="1" min="8" max="26" width="8.63"/>
  </cols>
  <sheetData>
    <row r="1">
      <c r="A1" s="51" t="s">
        <v>11</v>
      </c>
      <c r="B1" s="51" t="s">
        <v>9</v>
      </c>
      <c r="C1" s="51" t="s">
        <v>30</v>
      </c>
      <c r="D1" s="51" t="s">
        <v>22</v>
      </c>
      <c r="E1" s="51" t="s">
        <v>54</v>
      </c>
      <c r="F1" s="51" t="s">
        <v>12</v>
      </c>
      <c r="G1" s="51" t="s">
        <v>175</v>
      </c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>
      <c r="A2" s="47" t="s">
        <v>65</v>
      </c>
      <c r="B2" s="47" t="s">
        <v>64</v>
      </c>
      <c r="C2" s="47" t="s">
        <v>69</v>
      </c>
      <c r="D2" s="47" t="s">
        <v>67</v>
      </c>
      <c r="E2" s="47">
        <v>1.0</v>
      </c>
      <c r="F2" s="47" t="s">
        <v>34</v>
      </c>
      <c r="G2" s="47" t="s">
        <v>71</v>
      </c>
    </row>
    <row r="3">
      <c r="A3" s="47" t="s">
        <v>71</v>
      </c>
      <c r="C3" s="47" t="s">
        <v>147</v>
      </c>
      <c r="D3" s="47" t="s">
        <v>78</v>
      </c>
      <c r="E3" s="47">
        <v>2.0</v>
      </c>
      <c r="F3" s="47" t="s">
        <v>38</v>
      </c>
      <c r="G3" s="47" t="s">
        <v>92</v>
      </c>
    </row>
    <row r="4">
      <c r="A4" s="47" t="s">
        <v>106</v>
      </c>
      <c r="F4" s="47" t="s">
        <v>49</v>
      </c>
      <c r="G4" s="47" t="s">
        <v>83</v>
      </c>
    </row>
    <row r="5">
      <c r="A5" s="47" t="s">
        <v>145</v>
      </c>
      <c r="F5" s="47" t="s">
        <v>46</v>
      </c>
      <c r="G5" s="47" t="s">
        <v>65</v>
      </c>
    </row>
    <row r="6">
      <c r="A6" s="47" t="s">
        <v>140</v>
      </c>
      <c r="F6" s="47" t="s">
        <v>52</v>
      </c>
      <c r="G6" s="47" t="s">
        <v>77</v>
      </c>
    </row>
    <row r="7">
      <c r="F7" s="47" t="s">
        <v>42</v>
      </c>
      <c r="G7" s="47" t="s">
        <v>120</v>
      </c>
    </row>
    <row r="8">
      <c r="F8" s="50" t="s">
        <v>55</v>
      </c>
      <c r="G8" s="47" t="s">
        <v>106</v>
      </c>
    </row>
    <row r="9">
      <c r="F9" s="50" t="s">
        <v>59</v>
      </c>
      <c r="G9" s="47" t="s">
        <v>124</v>
      </c>
    </row>
    <row r="10">
      <c r="G10" s="47" t="s">
        <v>80</v>
      </c>
    </row>
    <row r="11">
      <c r="G11" s="47" t="s">
        <v>91</v>
      </c>
    </row>
    <row r="12">
      <c r="G12" s="47" t="s">
        <v>118</v>
      </c>
    </row>
    <row r="13">
      <c r="G13" s="47" t="s">
        <v>140</v>
      </c>
    </row>
    <row r="14">
      <c r="G14" s="47" t="s">
        <v>155</v>
      </c>
    </row>
    <row r="15">
      <c r="G15" s="47" t="s">
        <v>73</v>
      </c>
    </row>
    <row r="16">
      <c r="G16" s="47" t="s">
        <v>111</v>
      </c>
    </row>
    <row r="17">
      <c r="G17" s="47" t="s">
        <v>126</v>
      </c>
    </row>
    <row r="18">
      <c r="G18" s="47" t="s">
        <v>135</v>
      </c>
    </row>
    <row r="19">
      <c r="G19" s="47" t="s">
        <v>153</v>
      </c>
    </row>
    <row r="20">
      <c r="G20" s="47" t="s">
        <v>66</v>
      </c>
    </row>
    <row r="21" ht="15.75" customHeight="1">
      <c r="G21" s="47" t="s">
        <v>75</v>
      </c>
    </row>
    <row r="22" ht="15.75" customHeight="1">
      <c r="G22" s="47" t="s">
        <v>104</v>
      </c>
    </row>
    <row r="23" ht="15.75" customHeight="1">
      <c r="G23" s="47" t="s">
        <v>114</v>
      </c>
    </row>
    <row r="24" ht="15.75" customHeight="1">
      <c r="G24" s="47" t="s">
        <v>121</v>
      </c>
    </row>
    <row r="25" ht="15.75" customHeight="1">
      <c r="G25" s="47" t="s">
        <v>129</v>
      </c>
    </row>
    <row r="26" ht="15.75" customHeight="1">
      <c r="G26" s="47" t="s">
        <v>131</v>
      </c>
    </row>
    <row r="27" ht="15.75" customHeight="1">
      <c r="G27" s="47" t="s">
        <v>132</v>
      </c>
    </row>
    <row r="28" ht="15.75" customHeight="1">
      <c r="G28" s="47" t="s">
        <v>133</v>
      </c>
    </row>
    <row r="29" ht="15.75" customHeight="1">
      <c r="G29" s="47" t="s">
        <v>141</v>
      </c>
    </row>
    <row r="30" ht="15.75" customHeight="1">
      <c r="G30" s="47" t="s">
        <v>144</v>
      </c>
    </row>
    <row r="31" ht="15.75" customHeight="1">
      <c r="G31" s="47" t="s">
        <v>148</v>
      </c>
    </row>
    <row r="32" ht="15.75" customHeight="1">
      <c r="G32" s="47" t="s">
        <v>149</v>
      </c>
    </row>
    <row r="33" ht="15.75" customHeight="1">
      <c r="G33" s="47" t="s">
        <v>158</v>
      </c>
    </row>
    <row r="34" ht="15.75" customHeight="1">
      <c r="G34" s="50" t="s">
        <v>160</v>
      </c>
    </row>
    <row r="35" ht="15.75" customHeight="1">
      <c r="G35" s="47" t="s">
        <v>164</v>
      </c>
    </row>
    <row r="36" ht="15.75" customHeight="1">
      <c r="G36" s="50" t="s">
        <v>165</v>
      </c>
    </row>
    <row r="37" ht="15.75" customHeight="1">
      <c r="G37" s="50" t="s">
        <v>169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2026-08-27T05:41:19Z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